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Administrator\Desktop\MGR\ANP_CW\Gotowe\6\"/>
    </mc:Choice>
  </mc:AlternateContent>
  <xr:revisionPtr revIDLastSave="0" documentId="13_ncr:1_{5A0D197A-B15D-4D53-8469-0D47F6302E13}" xr6:coauthVersionLast="47" xr6:coauthVersionMax="47" xr10:uidLastSave="{00000000-0000-0000-0000-000000000000}"/>
  <bookViews>
    <workbookView xWindow="-96" yWindow="0" windowWidth="11712" windowHeight="12336" xr2:uid="{07DA6B05-708A-4C50-B64F-B5684801C5AC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5" i="1" l="1"/>
  <c r="X62" i="1"/>
  <c r="X61" i="1"/>
  <c r="X60" i="1"/>
  <c r="X59" i="1"/>
  <c r="X58" i="1"/>
  <c r="X57" i="1"/>
  <c r="X56" i="1"/>
  <c r="X55" i="1"/>
  <c r="X33" i="1"/>
  <c r="X32" i="1"/>
  <c r="X31" i="1"/>
  <c r="X30" i="1"/>
  <c r="X29" i="1"/>
  <c r="X28" i="1"/>
  <c r="X27" i="1"/>
  <c r="X26" i="1"/>
  <c r="W32" i="1"/>
  <c r="W30" i="1"/>
  <c r="W57" i="1"/>
  <c r="W55" i="1"/>
  <c r="T57" i="1"/>
  <c r="T55" i="1"/>
  <c r="T64" i="1"/>
  <c r="T61" i="1"/>
  <c r="T59" i="1"/>
  <c r="W40" i="1"/>
  <c r="W39" i="1"/>
  <c r="W14" i="1"/>
  <c r="W13" i="1"/>
  <c r="W18" i="1"/>
  <c r="W16" i="1"/>
  <c r="W45" i="1"/>
  <c r="Y57" i="1" s="1"/>
  <c r="W44" i="1"/>
  <c r="W43" i="1"/>
  <c r="W42" i="1"/>
  <c r="W41" i="1"/>
  <c r="X63" i="1"/>
  <c r="W63" i="1"/>
  <c r="V63" i="1"/>
  <c r="U63" i="1"/>
  <c r="W62" i="1"/>
  <c r="V62" i="1"/>
  <c r="U62" i="1"/>
  <c r="W61" i="1"/>
  <c r="W60" i="1"/>
  <c r="V60" i="1"/>
  <c r="U60" i="1"/>
  <c r="W59" i="1"/>
  <c r="W58" i="1"/>
  <c r="V58" i="1"/>
  <c r="U58" i="1"/>
  <c r="W56" i="1"/>
  <c r="V56" i="1"/>
  <c r="U56" i="1"/>
  <c r="W46" i="1"/>
  <c r="P65" i="1"/>
  <c r="O62" i="1"/>
  <c r="O61" i="1"/>
  <c r="O60" i="1"/>
  <c r="O59" i="1"/>
  <c r="O57" i="1"/>
  <c r="O56" i="1"/>
  <c r="O55" i="1"/>
  <c r="N55" i="1"/>
  <c r="O26" i="1"/>
  <c r="N32" i="1"/>
  <c r="N30" i="1"/>
  <c r="N28" i="1"/>
  <c r="N26" i="1"/>
  <c r="N61" i="1"/>
  <c r="P26" i="1"/>
  <c r="O33" i="1"/>
  <c r="O32" i="1"/>
  <c r="O31" i="1"/>
  <c r="O30" i="1"/>
  <c r="O29" i="1"/>
  <c r="O28" i="1"/>
  <c r="O27" i="1"/>
  <c r="N59" i="1"/>
  <c r="N57" i="1"/>
  <c r="K61" i="1"/>
  <c r="K59" i="1"/>
  <c r="K57" i="1"/>
  <c r="K55" i="1"/>
  <c r="N41" i="1"/>
  <c r="N40" i="1"/>
  <c r="N39" i="1"/>
  <c r="O63" i="1"/>
  <c r="N63" i="1"/>
  <c r="M63" i="1"/>
  <c r="L63" i="1"/>
  <c r="N62" i="1"/>
  <c r="M62" i="1"/>
  <c r="L62" i="1"/>
  <c r="N60" i="1"/>
  <c r="M60" i="1"/>
  <c r="L60" i="1"/>
  <c r="N58" i="1"/>
  <c r="M58" i="1"/>
  <c r="L58" i="1"/>
  <c r="N56" i="1"/>
  <c r="M56" i="1"/>
  <c r="L56" i="1"/>
  <c r="K64" i="1"/>
  <c r="N46" i="1"/>
  <c r="N45" i="1"/>
  <c r="N44" i="1"/>
  <c r="N43" i="1"/>
  <c r="N42" i="1"/>
  <c r="G65" i="1"/>
  <c r="F59" i="1"/>
  <c r="F62" i="1"/>
  <c r="F61" i="1"/>
  <c r="F60" i="1"/>
  <c r="F58" i="1"/>
  <c r="F57" i="1"/>
  <c r="F56" i="1"/>
  <c r="F55" i="1"/>
  <c r="E61" i="1"/>
  <c r="G61" i="1" s="1"/>
  <c r="E59" i="1"/>
  <c r="E57" i="1"/>
  <c r="E56" i="1"/>
  <c r="E55" i="1"/>
  <c r="B61" i="1"/>
  <c r="B59" i="1"/>
  <c r="B57" i="1"/>
  <c r="B55" i="1"/>
  <c r="F46" i="1"/>
  <c r="F45" i="1"/>
  <c r="F44" i="1"/>
  <c r="F43" i="1"/>
  <c r="F42" i="1"/>
  <c r="F41" i="1"/>
  <c r="F40" i="1"/>
  <c r="F39" i="1"/>
  <c r="F63" i="1"/>
  <c r="G63" i="1" s="1"/>
  <c r="E63" i="1"/>
  <c r="D63" i="1"/>
  <c r="C63" i="1"/>
  <c r="G62" i="1"/>
  <c r="E62" i="1"/>
  <c r="D62" i="1"/>
  <c r="C62" i="1"/>
  <c r="E60" i="1"/>
  <c r="G60" i="1" s="1"/>
  <c r="D60" i="1"/>
  <c r="C60" i="1"/>
  <c r="G59" i="1"/>
  <c r="E58" i="1"/>
  <c r="G58" i="1" s="1"/>
  <c r="D58" i="1"/>
  <c r="C58" i="1"/>
  <c r="D56" i="1"/>
  <c r="C56" i="1"/>
  <c r="G55" i="1"/>
  <c r="Y34" i="1"/>
  <c r="X34" i="1"/>
  <c r="W20" i="1"/>
  <c r="W15" i="1"/>
  <c r="W28" i="1"/>
  <c r="W26" i="1"/>
  <c r="T32" i="1"/>
  <c r="T30" i="1"/>
  <c r="T28" i="1"/>
  <c r="T26" i="1"/>
  <c r="P27" i="1"/>
  <c r="P28" i="1"/>
  <c r="P29" i="1"/>
  <c r="P30" i="1"/>
  <c r="P31" i="1"/>
  <c r="P32" i="1"/>
  <c r="P33" i="1"/>
  <c r="P34" i="1"/>
  <c r="G35" i="1"/>
  <c r="G27" i="1"/>
  <c r="G28" i="1"/>
  <c r="G29" i="1"/>
  <c r="G30" i="1"/>
  <c r="G31" i="1"/>
  <c r="G32" i="1"/>
  <c r="G33" i="1"/>
  <c r="G34" i="1"/>
  <c r="G26" i="1"/>
  <c r="Y26" i="1" l="1"/>
  <c r="Y27" i="1"/>
  <c r="W19" i="1"/>
  <c r="Y31" i="1"/>
  <c r="Y30" i="1"/>
  <c r="W17" i="1"/>
  <c r="Y63" i="1"/>
  <c r="Y59" i="1"/>
  <c r="Y60" i="1"/>
  <c r="Y62" i="1"/>
  <c r="Y56" i="1"/>
  <c r="Y61" i="1"/>
  <c r="Y58" i="1"/>
  <c r="Y55" i="1"/>
  <c r="Y64" i="1" s="1"/>
  <c r="P57" i="1"/>
  <c r="P63" i="1"/>
  <c r="P59" i="1"/>
  <c r="P60" i="1"/>
  <c r="P55" i="1"/>
  <c r="P64" i="1" s="1"/>
  <c r="P62" i="1"/>
  <c r="P61" i="1"/>
  <c r="O58" i="1"/>
  <c r="P58" i="1" s="1"/>
  <c r="P56" i="1"/>
  <c r="G57" i="1"/>
  <c r="G56" i="1"/>
  <c r="G64" i="1" s="1"/>
  <c r="B64" i="1"/>
  <c r="N13" i="1"/>
  <c r="G10" i="1"/>
  <c r="N27" i="1"/>
  <c r="N17" i="1"/>
  <c r="O34" i="1"/>
  <c r="N20" i="1"/>
  <c r="K32" i="1"/>
  <c r="K30" i="1"/>
  <c r="K28" i="1"/>
  <c r="K26" i="1"/>
  <c r="N19" i="1"/>
  <c r="N18" i="1"/>
  <c r="N16" i="1"/>
  <c r="N15" i="1"/>
  <c r="N14" i="1"/>
  <c r="W34" i="1"/>
  <c r="V34" i="1"/>
  <c r="U34" i="1"/>
  <c r="W33" i="1"/>
  <c r="V33" i="1"/>
  <c r="U33" i="1"/>
  <c r="W31" i="1"/>
  <c r="V31" i="1"/>
  <c r="U31" i="1"/>
  <c r="W29" i="1"/>
  <c r="V29" i="1"/>
  <c r="U29" i="1"/>
  <c r="W27" i="1"/>
  <c r="V27" i="1"/>
  <c r="U27" i="1"/>
  <c r="T35" i="1"/>
  <c r="F13" i="1"/>
  <c r="B18" i="1"/>
  <c r="N29" i="1" s="1"/>
  <c r="B17" i="1"/>
  <c r="N33" i="1" s="1"/>
  <c r="N34" i="1"/>
  <c r="M34" i="1"/>
  <c r="L34" i="1"/>
  <c r="M33" i="1"/>
  <c r="L33" i="1"/>
  <c r="M31" i="1"/>
  <c r="L31" i="1"/>
  <c r="M29" i="1"/>
  <c r="L29" i="1"/>
  <c r="M27" i="1"/>
  <c r="L27" i="1"/>
  <c r="K35" i="1"/>
  <c r="F14" i="1"/>
  <c r="Y29" i="1" l="1"/>
  <c r="Y28" i="1"/>
  <c r="Y33" i="1"/>
  <c r="Y32" i="1"/>
  <c r="Y35" i="1"/>
  <c r="Y36" i="1" s="1"/>
  <c r="P35" i="1"/>
  <c r="P36" i="1" s="1"/>
  <c r="N31" i="1"/>
  <c r="F15" i="1"/>
  <c r="F34" i="1" s="1"/>
  <c r="E34" i="1"/>
  <c r="E33" i="1"/>
  <c r="E32" i="1"/>
  <c r="E31" i="1"/>
  <c r="D10" i="1"/>
  <c r="E30" i="1" s="1"/>
  <c r="E29" i="1"/>
  <c r="E28" i="1"/>
  <c r="B35" i="1"/>
  <c r="D34" i="1"/>
  <c r="D33" i="1"/>
  <c r="D31" i="1"/>
  <c r="D29" i="1"/>
  <c r="D27" i="1"/>
  <c r="C34" i="1"/>
  <c r="C33" i="1"/>
  <c r="C31" i="1"/>
  <c r="C29" i="1"/>
  <c r="B32" i="1"/>
  <c r="B30" i="1"/>
  <c r="B28" i="1"/>
  <c r="E27" i="1"/>
  <c r="C27" i="1"/>
  <c r="E26" i="1"/>
  <c r="B26" i="1"/>
  <c r="B19" i="1"/>
  <c r="C11" i="1"/>
  <c r="D11" i="1"/>
  <c r="E11" i="1"/>
  <c r="F11" i="1"/>
  <c r="G11" i="1"/>
  <c r="H11" i="1"/>
  <c r="I11" i="1"/>
  <c r="J11" i="1"/>
  <c r="B11" i="1"/>
  <c r="H10" i="1"/>
  <c r="C10" i="1"/>
  <c r="E10" i="1"/>
  <c r="F10" i="1"/>
  <c r="I10" i="1"/>
  <c r="J10" i="1"/>
  <c r="B10" i="1"/>
  <c r="J8" i="1"/>
  <c r="D8" i="1"/>
  <c r="C8" i="1"/>
  <c r="E8" i="1"/>
  <c r="F8" i="1"/>
  <c r="G8" i="1"/>
  <c r="H8" i="1"/>
  <c r="I8" i="1"/>
  <c r="J6" i="1"/>
  <c r="J3" i="1"/>
  <c r="J4" i="1"/>
  <c r="J5" i="1"/>
  <c r="I5" i="1"/>
  <c r="I3" i="1"/>
  <c r="I4" i="1"/>
  <c r="I6" i="1"/>
  <c r="H6" i="1"/>
  <c r="H5" i="1"/>
  <c r="H4" i="1"/>
  <c r="H3" i="1"/>
  <c r="B8" i="1"/>
  <c r="J2" i="1"/>
  <c r="I2" i="1"/>
  <c r="H2" i="1"/>
  <c r="F20" i="1" l="1"/>
  <c r="F17" i="1"/>
  <c r="F16" i="1"/>
  <c r="F19" i="1"/>
  <c r="F18" i="1"/>
  <c r="F30" i="1" l="1"/>
  <c r="F31" i="1"/>
  <c r="F28" i="1"/>
  <c r="F29" i="1"/>
  <c r="F33" i="1"/>
  <c r="F32" i="1"/>
  <c r="F27" i="1"/>
  <c r="F26" i="1"/>
  <c r="G36" i="1" l="1"/>
</calcChain>
</file>

<file path=xl/sharedStrings.xml><?xml version="1.0" encoding="utf-8"?>
<sst xmlns="http://schemas.openxmlformats.org/spreadsheetml/2006/main" count="202" uniqueCount="60">
  <si>
    <t>Nr</t>
  </si>
  <si>
    <t>X1</t>
  </si>
  <si>
    <t>Y1</t>
  </si>
  <si>
    <t>X2</t>
  </si>
  <si>
    <t>Y2</t>
  </si>
  <si>
    <t>X3</t>
  </si>
  <si>
    <t>Y3</t>
  </si>
  <si>
    <t>L12</t>
  </si>
  <si>
    <t>L13</t>
  </si>
  <si>
    <t>L23</t>
  </si>
  <si>
    <t>Średnie</t>
  </si>
  <si>
    <t>Niepewności typu A</t>
  </si>
  <si>
    <t>Stale</t>
  </si>
  <si>
    <t>Eg</t>
  </si>
  <si>
    <t>ΔX_12</t>
  </si>
  <si>
    <t>ΔX_13</t>
  </si>
  <si>
    <t>ΔX_23</t>
  </si>
  <si>
    <t>Δt</t>
  </si>
  <si>
    <t>ΔY_12</t>
  </si>
  <si>
    <t>ΔY_13</t>
  </si>
  <si>
    <t>ΔY_23</t>
  </si>
  <si>
    <t>α</t>
  </si>
  <si>
    <t>L_12</t>
  </si>
  <si>
    <t>L_13</t>
  </si>
  <si>
    <t>L_23</t>
  </si>
  <si>
    <t>k</t>
  </si>
  <si>
    <t>c_X2</t>
  </si>
  <si>
    <t>c_X3</t>
  </si>
  <si>
    <t>u_B(Px)</t>
  </si>
  <si>
    <t>c_X1</t>
  </si>
  <si>
    <t>u_B(Py)</t>
  </si>
  <si>
    <t>c_Y2</t>
  </si>
  <si>
    <t>c_Y3</t>
  </si>
  <si>
    <t>u(Δt)</t>
  </si>
  <si>
    <t>c_Y1</t>
  </si>
  <si>
    <t>c_Δt</t>
  </si>
  <si>
    <t>Budżet niepewności pomiaru rozstawienia otworów (pomiar nr 1)</t>
  </si>
  <si>
    <t>L12 — pomiar nr 1</t>
  </si>
  <si>
    <t>L13 — pomiar nr 1</t>
  </si>
  <si>
    <t>L23 — pomiar nr 1</t>
  </si>
  <si>
    <t>Wielkość</t>
  </si>
  <si>
    <t>Oszaco-wanie</t>
  </si>
  <si>
    <t>Szerokość połówkowa</t>
  </si>
  <si>
    <t>Wsp. roz­rzutu</t>
  </si>
  <si>
    <t>Niepewn. Stand.</t>
  </si>
  <si>
    <t>Wsp. Wplywu</t>
  </si>
  <si>
    <t>Składowe niep. złoż.</t>
  </si>
  <si>
    <t>Wsp. Wpplywu</t>
  </si>
  <si>
    <t>-</t>
  </si>
  <si>
    <t>Py2</t>
  </si>
  <si>
    <t>Py3</t>
  </si>
  <si>
    <t>Py1</t>
  </si>
  <si>
    <t>Px2</t>
  </si>
  <si>
    <t>Px3</t>
  </si>
  <si>
    <t>Px1</t>
  </si>
  <si>
    <t>L</t>
  </si>
  <si>
    <t xml:space="preserve">Budżet niepewności pomiaru rozstawienia otworów - średnia z serii pomiarów </t>
  </si>
  <si>
    <t>L12 - seria pomiarów</t>
  </si>
  <si>
    <t>L13 - seria pomiarów</t>
  </si>
  <si>
    <t>L23 — seria pomiarów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</si>
</sst>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"/>
  </numFmts>
  <fonts count="13">
    <font>
      <sz val="11"/>
      <color theme="1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vertAlign val="subscript"/>
      <sz val="12"/>
      <color theme="1"/>
      <name val="Times New Roman"/>
      <family val="1"/>
      <charset val="238"/>
    </font>
    <font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b/>
      <sz val="11"/>
      <name val="Times New Roman"/>
      <family val="1"/>
      <charset val="238"/>
    </font>
    <font>
      <b/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gray125">
        <bgColor rgb="FFE5E5E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</borders>
  <cellStyleXfs count="19">
    <xf numFmtId="0" fontId="0" fillId="0" borderId="0"/>
    <xf numFmtId="0" fontId="8" fillId="3" borderId="0" applyNumberFormat="0" applyBorder="0" applyAlignment="0" applyProtection="0"/>
    <xf numFmtId="0" fontId="7" fillId="4" borderId="2" applyNumberFormat="0" applyFont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</cellStyleXfs>
  <cellXfs count="75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top" wrapText="1"/>
    </xf>
    <xf numFmtId="11" fontId="1" fillId="0" borderId="1" xfId="0" applyNumberFormat="1" applyFont="1" applyBorder="1" applyAlignment="1">
      <alignment horizontal="center" vertical="center" wrapText="1"/>
    </xf>
    <xf numFmtId="11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1" fontId="0" fillId="0" borderId="7" xfId="0" applyNumberFormat="1" applyBorder="1"/>
    <xf numFmtId="0" fontId="7" fillId="15" borderId="1" xfId="13" applyBorder="1"/>
    <xf numFmtId="0" fontId="7" fillId="16" borderId="1" xfId="14" applyBorder="1"/>
    <xf numFmtId="0" fontId="7" fillId="5" borderId="1" xfId="3" applyBorder="1"/>
    <xf numFmtId="0" fontId="7" fillId="5" borderId="7" xfId="3" applyBorder="1"/>
    <xf numFmtId="0" fontId="7" fillId="13" borderId="1" xfId="11" applyBorder="1" applyAlignment="1">
      <alignment horizontal="center" vertical="center" wrapText="1"/>
    </xf>
    <xf numFmtId="0" fontId="7" fillId="10" borderId="1" xfId="8" applyBorder="1"/>
    <xf numFmtId="0" fontId="7" fillId="10" borderId="7" xfId="8" applyBorder="1"/>
    <xf numFmtId="0" fontId="7" fillId="11" borderId="1" xfId="9" applyBorder="1" applyAlignment="1">
      <alignment horizontal="center" vertical="center" wrapText="1"/>
    </xf>
    <xf numFmtId="0" fontId="8" fillId="3" borderId="1" xfId="1" applyBorder="1"/>
    <xf numFmtId="0" fontId="8" fillId="3" borderId="7" xfId="1" applyBorder="1"/>
    <xf numFmtId="0" fontId="8" fillId="3" borderId="1" xfId="1" applyBorder="1" applyAlignment="1">
      <alignment horizontal="center" vertical="center" wrapText="1"/>
    </xf>
    <xf numFmtId="0" fontId="7" fillId="7" borderId="1" xfId="5" applyBorder="1"/>
    <xf numFmtId="0" fontId="7" fillId="8" borderId="1" xfId="6" applyBorder="1" applyAlignment="1">
      <alignment horizontal="center" vertical="center" wrapText="1"/>
    </xf>
    <xf numFmtId="0" fontId="7" fillId="9" borderId="1" xfId="7" applyBorder="1" applyAlignment="1">
      <alignment horizontal="center" vertical="center" wrapText="1"/>
    </xf>
    <xf numFmtId="0" fontId="7" fillId="14" borderId="1" xfId="12" applyBorder="1" applyAlignment="1">
      <alignment horizontal="center" vertical="center" wrapText="1"/>
    </xf>
    <xf numFmtId="0" fontId="7" fillId="12" borderId="1" xfId="10" applyBorder="1" applyAlignment="1">
      <alignment horizontal="center" vertical="center" wrapText="1"/>
    </xf>
    <xf numFmtId="0" fontId="7" fillId="16" borderId="1" xfId="14" applyBorder="1" applyAlignment="1">
      <alignment horizontal="center" vertical="center" wrapText="1"/>
    </xf>
    <xf numFmtId="0" fontId="7" fillId="17" borderId="1" xfId="15" applyBorder="1" applyAlignment="1">
      <alignment horizontal="center" vertical="center" wrapText="1"/>
    </xf>
    <xf numFmtId="0" fontId="7" fillId="19" borderId="1" xfId="17" applyBorder="1" applyAlignment="1">
      <alignment horizontal="center" vertical="center" wrapText="1"/>
    </xf>
    <xf numFmtId="0" fontId="7" fillId="20" borderId="1" xfId="18" applyBorder="1" applyAlignment="1">
      <alignment horizontal="center" vertical="center" wrapText="1"/>
    </xf>
    <xf numFmtId="0" fontId="7" fillId="18" borderId="1" xfId="16" applyBorder="1"/>
    <xf numFmtId="165" fontId="4" fillId="0" borderId="1" xfId="0" applyNumberFormat="1" applyFont="1" applyBorder="1" applyAlignment="1">
      <alignment horizontal="center" vertical="center" wrapText="1"/>
    </xf>
    <xf numFmtId="0" fontId="0" fillId="21" borderId="4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6" xfId="0" applyFill="1" applyBorder="1" applyAlignment="1">
      <alignment horizontal="center"/>
    </xf>
    <xf numFmtId="0" fontId="11" fillId="8" borderId="4" xfId="6" applyFont="1" applyBorder="1" applyAlignment="1">
      <alignment horizontal="center"/>
    </xf>
    <xf numFmtId="0" fontId="11" fillId="8" borderId="5" xfId="6" applyFont="1" applyBorder="1" applyAlignment="1">
      <alignment horizontal="center"/>
    </xf>
    <xf numFmtId="0" fontId="11" fillId="8" borderId="6" xfId="6" applyFont="1" applyBorder="1" applyAlignment="1">
      <alignment horizontal="center"/>
    </xf>
    <xf numFmtId="0" fontId="11" fillId="16" borderId="4" xfId="14" applyFont="1" applyBorder="1" applyAlignment="1">
      <alignment horizontal="center"/>
    </xf>
    <xf numFmtId="0" fontId="11" fillId="16" borderId="5" xfId="14" applyFont="1" applyBorder="1" applyAlignment="1">
      <alignment horizontal="center"/>
    </xf>
    <xf numFmtId="0" fontId="11" fillId="16" borderId="6" xfId="14" applyFont="1" applyBorder="1" applyAlignment="1">
      <alignment horizontal="center"/>
    </xf>
    <xf numFmtId="0" fontId="11" fillId="19" borderId="4" xfId="17" applyFont="1" applyBorder="1" applyAlignment="1">
      <alignment horizontal="center"/>
    </xf>
    <xf numFmtId="0" fontId="11" fillId="19" borderId="5" xfId="17" applyFont="1" applyBorder="1" applyAlignment="1">
      <alignment horizontal="center"/>
    </xf>
    <xf numFmtId="0" fontId="11" fillId="19" borderId="6" xfId="17" applyFont="1" applyBorder="1" applyAlignment="1">
      <alignment horizontal="center"/>
    </xf>
    <xf numFmtId="0" fontId="7" fillId="18" borderId="11" xfId="16" applyBorder="1" applyAlignment="1">
      <alignment horizontal="center" vertical="center" wrapText="1"/>
    </xf>
    <xf numFmtId="0" fontId="7" fillId="18" borderId="3" xfId="16" applyBorder="1" applyAlignment="1">
      <alignment horizontal="center" vertical="center" wrapText="1"/>
    </xf>
    <xf numFmtId="0" fontId="7" fillId="15" borderId="11" xfId="13" applyBorder="1" applyAlignment="1">
      <alignment horizontal="center" vertical="center" wrapText="1"/>
    </xf>
    <xf numFmtId="0" fontId="7" fillId="15" borderId="3" xfId="13" applyBorder="1" applyAlignment="1">
      <alignment horizontal="center" vertical="center" wrapText="1"/>
    </xf>
    <xf numFmtId="0" fontId="7" fillId="7" borderId="11" xfId="5" applyBorder="1" applyAlignment="1">
      <alignment horizontal="center" vertical="center" wrapText="1"/>
    </xf>
    <xf numFmtId="0" fontId="7" fillId="7" borderId="3" xfId="5" applyBorder="1" applyAlignment="1">
      <alignment horizontal="center" vertical="center" wrapText="1"/>
    </xf>
    <xf numFmtId="0" fontId="12" fillId="3" borderId="2" xfId="1" applyFont="1" applyBorder="1" applyAlignment="1">
      <alignment horizontal="center"/>
    </xf>
    <xf numFmtId="0" fontId="11" fillId="11" borderId="8" xfId="9" applyFont="1" applyBorder="1" applyAlignment="1">
      <alignment horizontal="center"/>
    </xf>
    <xf numFmtId="0" fontId="11" fillId="11" borderId="9" xfId="9" applyFont="1" applyBorder="1" applyAlignment="1">
      <alignment horizontal="center"/>
    </xf>
    <xf numFmtId="0" fontId="11" fillId="11" borderId="10" xfId="9" applyFont="1" applyBorder="1" applyAlignment="1">
      <alignment horizontal="center"/>
    </xf>
    <xf numFmtId="0" fontId="11" fillId="6" borderId="8" xfId="4" applyFont="1" applyBorder="1" applyAlignment="1">
      <alignment horizontal="center"/>
    </xf>
    <xf numFmtId="0" fontId="11" fillId="6" borderId="9" xfId="4" applyFont="1" applyBorder="1" applyAlignment="1">
      <alignment horizontal="center"/>
    </xf>
    <xf numFmtId="0" fontId="11" fillId="6" borderId="10" xfId="4" applyFont="1" applyBorder="1" applyAlignment="1">
      <alignment horizontal="center"/>
    </xf>
    <xf numFmtId="0" fontId="7" fillId="15" borderId="1" xfId="13" applyBorder="1" applyAlignment="1">
      <alignment horizontal="center" vertical="center" wrapText="1"/>
    </xf>
    <xf numFmtId="0" fontId="7" fillId="10" borderId="3" xfId="8" applyBorder="1" applyAlignment="1">
      <alignment horizontal="center" vertical="center" wrapText="1"/>
    </xf>
    <xf numFmtId="0" fontId="7" fillId="10" borderId="1" xfId="8" applyBorder="1" applyAlignment="1">
      <alignment horizontal="center" vertical="center" wrapText="1"/>
    </xf>
    <xf numFmtId="0" fontId="7" fillId="7" borderId="1" xfId="5" applyBorder="1" applyAlignment="1">
      <alignment horizontal="center" vertical="center" wrapText="1"/>
    </xf>
    <xf numFmtId="0" fontId="2" fillId="4" borderId="2" xfId="2" applyFont="1" applyAlignment="1">
      <alignment horizontal="center" vertical="center" wrapText="1"/>
    </xf>
    <xf numFmtId="0" fontId="7" fillId="7" borderId="1" xfId="5" applyBorder="1" applyAlignment="1">
      <alignment horizontal="center"/>
    </xf>
    <xf numFmtId="0" fontId="7" fillId="8" borderId="1" xfId="6" applyBorder="1" applyAlignment="1">
      <alignment horizontal="center"/>
    </xf>
    <xf numFmtId="0" fontId="7" fillId="5" borderId="3" xfId="3" applyBorder="1" applyAlignment="1">
      <alignment horizontal="center" vertical="center" wrapText="1"/>
    </xf>
    <xf numFmtId="0" fontId="7" fillId="5" borderId="1" xfId="3" applyBorder="1" applyAlignment="1">
      <alignment horizontal="center" vertical="center" wrapText="1"/>
    </xf>
    <xf numFmtId="0" fontId="7" fillId="9" borderId="1" xfId="7" applyBorder="1" applyAlignment="1">
      <alignment horizontal="center"/>
    </xf>
    <xf numFmtId="0" fontId="7" fillId="5" borderId="11" xfId="3" applyBorder="1" applyAlignment="1">
      <alignment horizontal="center" vertical="center" wrapText="1"/>
    </xf>
    <xf numFmtId="0" fontId="10" fillId="4" borderId="2" xfId="2" applyFont="1" applyAlignment="1">
      <alignment horizontal="center" vertical="center" wrapText="1"/>
    </xf>
    <xf numFmtId="0" fontId="9" fillId="4" borderId="2" xfId="2" applyFont="1" applyAlignment="1">
      <alignment horizontal="center" vertical="center" wrapText="1"/>
    </xf>
    <xf numFmtId="0" fontId="7" fillId="10" borderId="11" xfId="8" applyBorder="1" applyAlignment="1">
      <alignment horizontal="center" vertical="center" wrapText="1"/>
    </xf>
    <xf numFmtId="0" fontId="2" fillId="4" borderId="12" xfId="2" applyFont="1" applyBorder="1" applyAlignment="1">
      <alignment horizontal="center" vertical="center" wrapText="1"/>
    </xf>
    <xf numFmtId="0" fontId="2" fillId="4" borderId="13" xfId="2" applyFont="1" applyBorder="1" applyAlignment="1">
      <alignment horizontal="center" vertical="center" wrapText="1"/>
    </xf>
  </cellXfs>
  <cellStyles count="19">
    <cellStyle name="20% — akcent 1" xfId="3" builtinId="30"/>
    <cellStyle name="20% — akcent 2" xfId="5" builtinId="34"/>
    <cellStyle name="20% — akcent 3" xfId="8" builtinId="38"/>
    <cellStyle name="20% — akcent 5" xfId="13" builtinId="46"/>
    <cellStyle name="20% — akcent 6" xfId="16" builtinId="50"/>
    <cellStyle name="40% — akcent 1" xfId="4" builtinId="31"/>
    <cellStyle name="40% — akcent 2" xfId="6" builtinId="35"/>
    <cellStyle name="40% — akcent 3" xfId="9" builtinId="39"/>
    <cellStyle name="40% — akcent 4" xfId="11" builtinId="43"/>
    <cellStyle name="40% — akcent 5" xfId="14" builtinId="47"/>
    <cellStyle name="40% — akcent 6" xfId="17" builtinId="51"/>
    <cellStyle name="60% — akcent 2" xfId="7" builtinId="36"/>
    <cellStyle name="60% — akcent 3" xfId="10" builtinId="40"/>
    <cellStyle name="60% — akcent 4" xfId="12" builtinId="44"/>
    <cellStyle name="60% — akcent 5" xfId="15" builtinId="48"/>
    <cellStyle name="60% — akcent 6" xfId="18" builtinId="52"/>
    <cellStyle name="Neutralny" xfId="1" builtinId="28"/>
    <cellStyle name="Normalny" xfId="0" builtinId="0"/>
    <cellStyle name="Uwaga" xfId="2" builtinId="1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D8A0-8082-4BAC-9540-6A225F88C87A}">
  <dimension ref="A1:Y65"/>
  <sheetViews>
    <sheetView tabSelected="1" topLeftCell="Q51" zoomScale="115" zoomScaleNormal="115" workbookViewId="0">
      <selection activeCell="V67" sqref="V67"/>
    </sheetView>
  </sheetViews>
  <sheetFormatPr defaultRowHeight="14.45"/>
  <cols>
    <col min="1" max="1" width="10.42578125" customWidth="1"/>
    <col min="2" max="2" width="12" customWidth="1"/>
    <col min="3" max="3" width="10.28515625" customWidth="1"/>
    <col min="4" max="5" width="12.7109375" bestFit="1" customWidth="1"/>
    <col min="6" max="6" width="13.28515625" bestFit="1" customWidth="1"/>
    <col min="7" max="7" width="12.7109375" bestFit="1" customWidth="1"/>
    <col min="10" max="10" width="10.42578125" customWidth="1"/>
    <col min="11" max="11" width="12" customWidth="1"/>
    <col min="12" max="12" width="10.140625" customWidth="1"/>
    <col min="13" max="14" width="12.7109375" bestFit="1" customWidth="1"/>
    <col min="15" max="15" width="13.28515625" bestFit="1" customWidth="1"/>
    <col min="16" max="16" width="12.7109375" bestFit="1" customWidth="1"/>
    <col min="21" max="21" width="10.28515625" customWidth="1"/>
    <col min="22" max="22" width="8.85546875" customWidth="1"/>
    <col min="23" max="23" width="12.7109375" bestFit="1" customWidth="1"/>
    <col min="24" max="24" width="10" bestFit="1" customWidth="1"/>
    <col min="25" max="25" width="11.140625" bestFit="1" customWidth="1"/>
  </cols>
  <sheetData>
    <row r="1" spans="1:2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23">
      <c r="A2" s="13">
        <v>1</v>
      </c>
      <c r="B2" s="3">
        <v>12.9992</v>
      </c>
      <c r="C2" s="3">
        <v>13.0009</v>
      </c>
      <c r="D2" s="3">
        <v>12.9998</v>
      </c>
      <c r="E2" s="3">
        <v>35.000399999999999</v>
      </c>
      <c r="F2" s="3">
        <v>24.999500000000001</v>
      </c>
      <c r="G2" s="3">
        <v>8.0001999999999995</v>
      </c>
      <c r="H2" s="3">
        <f>SQRT((D2-B2)^2+(E2-C2)^2)</f>
        <v>21.999500008182004</v>
      </c>
      <c r="I2" s="3">
        <f>SQRT((F2-B2)^2+(G2-C2)^2)</f>
        <v>13.00054616468093</v>
      </c>
      <c r="J2" s="3">
        <f>SQRT((F2-D2)^2+(G2-E2)^2)</f>
        <v>29.54663432829533</v>
      </c>
    </row>
    <row r="3" spans="1:23">
      <c r="A3" s="13">
        <v>2</v>
      </c>
      <c r="B3" s="3">
        <v>13.0008</v>
      </c>
      <c r="C3" s="3">
        <v>12.9994</v>
      </c>
      <c r="D3" s="3">
        <v>13.000500000000001</v>
      </c>
      <c r="E3" s="3">
        <v>34.9998</v>
      </c>
      <c r="F3" s="3">
        <v>25.0002</v>
      </c>
      <c r="G3" s="3">
        <v>7.9996</v>
      </c>
      <c r="H3" s="3">
        <f>SQRT((D3-B3)^2+(E3-C3)^2)</f>
        <v>22.000400002045417</v>
      </c>
      <c r="I3" s="3">
        <f>SQRT((F3-B3)^2+(G3-C3)^2)</f>
        <v>12.999369230851164</v>
      </c>
      <c r="J3" s="3">
        <f t="shared" ref="J3:J5" si="0">SQRT((F3-D3)^2+(G3-E3)^2)</f>
        <v>29.546634328295326</v>
      </c>
    </row>
    <row r="4" spans="1:23">
      <c r="A4" s="13">
        <v>3</v>
      </c>
      <c r="B4" s="3">
        <v>12.999499999999999</v>
      </c>
      <c r="C4" s="3">
        <v>13.000299999999999</v>
      </c>
      <c r="D4" s="3">
        <v>13.9991</v>
      </c>
      <c r="E4" s="3">
        <v>35.000700000000002</v>
      </c>
      <c r="F4" s="3">
        <v>25.0002</v>
      </c>
      <c r="G4" s="3">
        <v>8.0000999999999998</v>
      </c>
      <c r="H4" s="3">
        <f>SQRT((D4-B4)^2+(E4-C4)^2)</f>
        <v>22.023096973859062</v>
      </c>
      <c r="I4" s="3">
        <f t="shared" ref="I4:I6" si="1">SQRT((F4-B4)^2+(G4-C4)^2)</f>
        <v>13.000723077198437</v>
      </c>
      <c r="J4" s="3">
        <f t="shared" si="0"/>
        <v>29.155730166984331</v>
      </c>
    </row>
    <row r="5" spans="1:23">
      <c r="A5" s="13">
        <v>4</v>
      </c>
      <c r="B5" s="3">
        <v>13.000500000000001</v>
      </c>
      <c r="C5" s="3">
        <v>13.0007</v>
      </c>
      <c r="D5" s="3">
        <v>13.999599999999999</v>
      </c>
      <c r="E5" s="3">
        <v>35.000100000000003</v>
      </c>
      <c r="F5" s="3">
        <v>24.999500000000001</v>
      </c>
      <c r="G5" s="3">
        <v>8.0005000000000006</v>
      </c>
      <c r="H5" s="3">
        <f>SQRT((D5-B5)^2+(E5-C5)^2)</f>
        <v>22.022075314783574</v>
      </c>
      <c r="I5" s="3">
        <f>SQRT((F5-B5)^2+(G5-C5)^2)</f>
        <v>12.999153858617106</v>
      </c>
      <c r="J5" s="3">
        <f t="shared" si="0"/>
        <v>29.154351307652174</v>
      </c>
    </row>
    <row r="6" spans="1:23">
      <c r="A6" s="13">
        <v>5</v>
      </c>
      <c r="B6" s="3">
        <v>13.000400000000001</v>
      </c>
      <c r="C6" s="3">
        <v>12.9992</v>
      </c>
      <c r="D6" s="3">
        <v>23.000299999999999</v>
      </c>
      <c r="E6" s="3">
        <v>35.999499999999998</v>
      </c>
      <c r="F6" s="3">
        <v>25.000299999999999</v>
      </c>
      <c r="G6" s="3">
        <v>7.9995000000000003</v>
      </c>
      <c r="H6" s="3">
        <f>SQRT((D6-B6)^2+(E6-C6)^2)</f>
        <v>25.080107657264946</v>
      </c>
      <c r="I6" s="3">
        <f t="shared" si="1"/>
        <v>12.999792309879414</v>
      </c>
      <c r="J6" s="3">
        <f>SQRT((F6-D6)^2+(G6-E6)^2)</f>
        <v>28.071337695236394</v>
      </c>
    </row>
    <row r="7" spans="1:23">
      <c r="A7" s="64" t="s">
        <v>10</v>
      </c>
      <c r="B7" s="64"/>
      <c r="C7" s="64"/>
      <c r="D7" s="64"/>
      <c r="E7" s="64"/>
      <c r="F7" s="64"/>
      <c r="G7" s="64"/>
      <c r="H7" s="64"/>
      <c r="I7" s="64"/>
      <c r="J7" s="64"/>
    </row>
    <row r="8" spans="1:23">
      <c r="A8" s="3"/>
      <c r="B8" s="3">
        <f>AVERAGE(B2:B6)</f>
        <v>13.000080000000001</v>
      </c>
      <c r="C8" s="3">
        <f>AVERAGE(C2:C6)</f>
        <v>13.0001</v>
      </c>
      <c r="D8" s="3">
        <f>AVERAGE(D2:D6)</f>
        <v>15.39986</v>
      </c>
      <c r="E8" s="3">
        <f t="shared" ref="E8:I8" si="2">AVERAGE(E2:E6)</f>
        <v>35.200099999999999</v>
      </c>
      <c r="F8" s="3">
        <f t="shared" si="2"/>
        <v>24.999939999999999</v>
      </c>
      <c r="G8" s="3">
        <f t="shared" si="2"/>
        <v>7.999979999999999</v>
      </c>
      <c r="H8" s="3">
        <f t="shared" si="2"/>
        <v>22.625035991227001</v>
      </c>
      <c r="I8" s="3">
        <f t="shared" si="2"/>
        <v>12.999916928245408</v>
      </c>
      <c r="J8" s="3">
        <f>AVERAGE(J2:J6)</f>
        <v>29.094937565292707</v>
      </c>
    </row>
    <row r="9" spans="1:23">
      <c r="A9" s="65" t="s">
        <v>11</v>
      </c>
      <c r="B9" s="65"/>
      <c r="C9" s="65"/>
      <c r="D9" s="65"/>
      <c r="E9" s="65"/>
      <c r="F9" s="65"/>
      <c r="G9" s="65"/>
      <c r="H9" s="65"/>
      <c r="I9" s="65"/>
      <c r="J9" s="65"/>
    </row>
    <row r="10" spans="1:23">
      <c r="A10" s="3"/>
      <c r="B10" s="3">
        <f>STDEVA(B2:B6)</f>
        <v>6.9065186599354827E-4</v>
      </c>
      <c r="C10" s="3">
        <f t="shared" ref="C10:J10" si="3">STDEVA(C2:C6)</f>
        <v>7.6485292703887698E-4</v>
      </c>
      <c r="D10" s="3">
        <f>STDEVA(D2:D6)</f>
        <v>4.278047488399344</v>
      </c>
      <c r="E10" s="3">
        <f t="shared" si="3"/>
        <v>0.44687831117654231</v>
      </c>
      <c r="F10" s="3">
        <f t="shared" si="3"/>
        <v>4.0373258476278606E-4</v>
      </c>
      <c r="G10" s="3">
        <f t="shared" si="3"/>
        <v>4.2071367935927486E-4</v>
      </c>
      <c r="H10" s="3">
        <f>STDEVA(H2:H6)</f>
        <v>1.3724735360303177</v>
      </c>
      <c r="I10" s="3">
        <f t="shared" si="3"/>
        <v>6.9706385229402956E-4</v>
      </c>
      <c r="J10" s="3">
        <f t="shared" si="3"/>
        <v>0.60478143957031805</v>
      </c>
    </row>
    <row r="11" spans="1:23">
      <c r="A11" s="3"/>
      <c r="B11" s="3">
        <f>STDEVA(B2:B6)/SQRT(COUNTA(B2:B6))</f>
        <v>3.0886890422972984E-4</v>
      </c>
      <c r="C11" s="3">
        <f t="shared" ref="C11:J11" si="4">STDEVA(C2:C6)/SQRT(COUNTA(C2:C6))</f>
        <v>3.4205262752972314E-4</v>
      </c>
      <c r="D11" s="3">
        <f t="shared" si="4"/>
        <v>1.9132009990066352</v>
      </c>
      <c r="E11" s="3">
        <f t="shared" si="4"/>
        <v>0.1998500562922105</v>
      </c>
      <c r="F11" s="3">
        <f t="shared" si="4"/>
        <v>1.8055470085225707E-4</v>
      </c>
      <c r="G11" s="3">
        <f t="shared" si="4"/>
        <v>1.8814887722227774E-4</v>
      </c>
      <c r="H11" s="3">
        <f t="shared" si="4"/>
        <v>0.61378882477665941</v>
      </c>
      <c r="I11" s="3">
        <f t="shared" si="4"/>
        <v>3.1173643167746456E-4</v>
      </c>
      <c r="J11" s="3">
        <f t="shared" si="4"/>
        <v>0.27046648208188245</v>
      </c>
    </row>
    <row r="12" spans="1:23">
      <c r="A12" s="68" t="s">
        <v>12</v>
      </c>
      <c r="B12" s="68"/>
    </row>
    <row r="13" spans="1:23">
      <c r="A13" s="3" t="s">
        <v>13</v>
      </c>
      <c r="B13" s="3">
        <v>1.8E-3</v>
      </c>
      <c r="E13" s="14" t="s">
        <v>14</v>
      </c>
      <c r="F13" s="3">
        <f>(D2 + PX2) - (B2 + PX1)</f>
        <v>6.0000000000037801E-4</v>
      </c>
      <c r="M13" s="17" t="s">
        <v>15</v>
      </c>
      <c r="N13" s="3">
        <f>(F2 + PX2) - (B2 + PX1)</f>
        <v>12.000300000000001</v>
      </c>
      <c r="V13" s="20" t="s">
        <v>16</v>
      </c>
      <c r="W13" s="3">
        <f>(F2 + PX2) - (D2 + PX1)</f>
        <v>11.999700000000001</v>
      </c>
    </row>
    <row r="14" spans="1:23">
      <c r="A14" s="3" t="s">
        <v>17</v>
      </c>
      <c r="B14" s="3">
        <v>2</v>
      </c>
      <c r="E14" s="14" t="s">
        <v>18</v>
      </c>
      <c r="F14" s="3">
        <f>(E2 + PY2) - (C2 + PY1)</f>
        <v>21.999499999999998</v>
      </c>
      <c r="M14" s="17" t="s">
        <v>19</v>
      </c>
      <c r="N14" s="3">
        <f>(C2 + PY2) - (G2 + PY1)</f>
        <v>5.0007000000000001</v>
      </c>
      <c r="V14" s="20" t="s">
        <v>20</v>
      </c>
      <c r="W14" s="3">
        <f>(E2 + PY2) - (G2 + PY1)</f>
        <v>27.0002</v>
      </c>
    </row>
    <row r="15" spans="1:23">
      <c r="A15" s="3" t="s">
        <v>21</v>
      </c>
      <c r="B15" s="6">
        <v>1.15E-5</v>
      </c>
      <c r="E15" s="14" t="s">
        <v>22</v>
      </c>
      <c r="F15" s="3">
        <f>SQRT( F13^2 + F14^2 )</f>
        <v>21.999500008182004</v>
      </c>
      <c r="M15" s="17" t="s">
        <v>23</v>
      </c>
      <c r="N15" s="3">
        <f>I3</f>
        <v>12.999369230851164</v>
      </c>
      <c r="V15" s="20" t="s">
        <v>24</v>
      </c>
      <c r="W15" s="3">
        <f>J2</f>
        <v>29.54663432829533</v>
      </c>
    </row>
    <row r="16" spans="1:23">
      <c r="A16" s="3" t="s">
        <v>25</v>
      </c>
      <c r="B16" s="3">
        <v>2</v>
      </c>
      <c r="E16" s="14" t="s">
        <v>26</v>
      </c>
      <c r="F16" s="3">
        <f>F13/F15</f>
        <v>2.7273347111399229E-5</v>
      </c>
      <c r="M16" s="17" t="s">
        <v>27</v>
      </c>
      <c r="N16" s="3">
        <f>N13/N15</f>
        <v>0.92314479163495944</v>
      </c>
      <c r="V16" s="20" t="s">
        <v>27</v>
      </c>
      <c r="W16" s="3">
        <f>W13/W15</f>
        <v>0.40612747518618353</v>
      </c>
    </row>
    <row r="17" spans="1:25">
      <c r="A17" s="3" t="s">
        <v>28</v>
      </c>
      <c r="B17" s="3">
        <f>B13/SQRT(3)</f>
        <v>1.0392304845413265E-3</v>
      </c>
      <c r="E17" s="14" t="s">
        <v>29</v>
      </c>
      <c r="F17" s="3">
        <f>-(F13)/F15</f>
        <v>-2.7273347111399229E-5</v>
      </c>
      <c r="M17" s="17" t="s">
        <v>29</v>
      </c>
      <c r="N17" s="3">
        <f>-(N13)/N15</f>
        <v>-0.92314479163495944</v>
      </c>
      <c r="V17" s="20" t="s">
        <v>26</v>
      </c>
      <c r="W17" s="3">
        <f>-W13/W15</f>
        <v>-0.40612747518618353</v>
      </c>
    </row>
    <row r="18" spans="1:25">
      <c r="A18" s="3" t="s">
        <v>30</v>
      </c>
      <c r="B18" s="3">
        <f>B13/SQRT(3)</f>
        <v>1.0392304845413265E-3</v>
      </c>
      <c r="E18" s="14" t="s">
        <v>31</v>
      </c>
      <c r="F18" s="6">
        <f>F14/F15</f>
        <v>0.99999999962808217</v>
      </c>
      <c r="M18" s="17" t="s">
        <v>32</v>
      </c>
      <c r="N18" s="3">
        <f>N14/N15</f>
        <v>0.38468789609667603</v>
      </c>
      <c r="V18" s="20" t="s">
        <v>32</v>
      </c>
      <c r="W18" s="3">
        <f>W14/W15</f>
        <v>0.91381643337100027</v>
      </c>
    </row>
    <row r="19" spans="1:25">
      <c r="A19" s="3" t="s">
        <v>33</v>
      </c>
      <c r="B19" s="3">
        <f>B14/SQRT(3)</f>
        <v>1.1547005383792517</v>
      </c>
      <c r="E19" s="14" t="s">
        <v>34</v>
      </c>
      <c r="F19" s="6">
        <f>-(F14)/F15</f>
        <v>-0.99999999962808217</v>
      </c>
      <c r="M19" s="17" t="s">
        <v>34</v>
      </c>
      <c r="N19" s="3">
        <f>-N14/N15</f>
        <v>-0.38468789609667603</v>
      </c>
      <c r="V19" s="20" t="s">
        <v>31</v>
      </c>
      <c r="W19" s="3">
        <f>-W14/W15</f>
        <v>-0.91381643337100027</v>
      </c>
    </row>
    <row r="20" spans="1:25" ht="15" thickBot="1">
      <c r="E20" s="15" t="s">
        <v>35</v>
      </c>
      <c r="F20" s="11">
        <f xml:space="preserve"> $B$15 *F15</f>
        <v>2.5299425009409304E-4</v>
      </c>
      <c r="M20" s="18" t="s">
        <v>35</v>
      </c>
      <c r="N20" s="11">
        <f>$B$15 *N15</f>
        <v>1.4949274615478838E-4</v>
      </c>
      <c r="V20" s="21" t="s">
        <v>35</v>
      </c>
      <c r="W20" s="11">
        <f>$B$15 *W15</f>
        <v>3.3978629477539627E-4</v>
      </c>
    </row>
    <row r="21" spans="1:25" ht="15" thickBot="1">
      <c r="A21" s="34" t="s">
        <v>36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6"/>
    </row>
    <row r="22" spans="1:25" ht="15" thickBot="1">
      <c r="A22" s="56" t="s">
        <v>37</v>
      </c>
      <c r="B22" s="57"/>
      <c r="C22" s="57"/>
      <c r="D22" s="57"/>
      <c r="E22" s="57"/>
      <c r="F22" s="57"/>
      <c r="G22" s="58"/>
      <c r="J22" s="53" t="s">
        <v>38</v>
      </c>
      <c r="K22" s="54"/>
      <c r="L22" s="54"/>
      <c r="M22" s="54"/>
      <c r="N22" s="54"/>
      <c r="O22" s="54"/>
      <c r="P22" s="55"/>
      <c r="S22" s="52" t="s">
        <v>39</v>
      </c>
      <c r="T22" s="52"/>
      <c r="U22" s="52"/>
      <c r="V22" s="52"/>
      <c r="W22" s="52"/>
      <c r="X22" s="52"/>
      <c r="Y22" s="52"/>
    </row>
    <row r="23" spans="1:25" ht="31.15" customHeight="1">
      <c r="A23" s="66" t="s">
        <v>40</v>
      </c>
      <c r="B23" s="66" t="s">
        <v>41</v>
      </c>
      <c r="C23" s="66" t="s">
        <v>42</v>
      </c>
      <c r="D23" s="66" t="s">
        <v>43</v>
      </c>
      <c r="E23" s="69" t="s">
        <v>44</v>
      </c>
      <c r="F23" s="69" t="s">
        <v>45</v>
      </c>
      <c r="G23" s="66" t="s">
        <v>46</v>
      </c>
      <c r="J23" s="60" t="s">
        <v>40</v>
      </c>
      <c r="K23" s="60" t="s">
        <v>41</v>
      </c>
      <c r="L23" s="60" t="s">
        <v>42</v>
      </c>
      <c r="M23" s="60" t="s">
        <v>43</v>
      </c>
      <c r="N23" s="72" t="s">
        <v>44</v>
      </c>
      <c r="O23" s="72" t="s">
        <v>45</v>
      </c>
      <c r="P23" s="60" t="s">
        <v>46</v>
      </c>
      <c r="S23" s="63" t="s">
        <v>40</v>
      </c>
      <c r="T23" s="70" t="s">
        <v>41</v>
      </c>
      <c r="U23" s="63" t="s">
        <v>42</v>
      </c>
      <c r="V23" s="63" t="s">
        <v>43</v>
      </c>
      <c r="W23" s="73" t="s">
        <v>44</v>
      </c>
      <c r="X23" s="73" t="s">
        <v>47</v>
      </c>
      <c r="Y23" s="63" t="s">
        <v>46</v>
      </c>
    </row>
    <row r="24" spans="1:25" ht="15.6" customHeight="1">
      <c r="A24" s="67"/>
      <c r="B24" s="67"/>
      <c r="C24" s="67"/>
      <c r="D24" s="67"/>
      <c r="E24" s="66"/>
      <c r="F24" s="66"/>
      <c r="G24" s="67"/>
      <c r="J24" s="61"/>
      <c r="K24" s="61"/>
      <c r="L24" s="61"/>
      <c r="M24" s="61"/>
      <c r="N24" s="60"/>
      <c r="O24" s="60"/>
      <c r="P24" s="61"/>
      <c r="S24" s="63"/>
      <c r="T24" s="71"/>
      <c r="U24" s="63"/>
      <c r="V24" s="63"/>
      <c r="W24" s="74"/>
      <c r="X24" s="74"/>
      <c r="Y24" s="63"/>
    </row>
    <row r="25" spans="1:25">
      <c r="A25" s="26">
        <v>1</v>
      </c>
      <c r="B25" s="26">
        <v>2</v>
      </c>
      <c r="C25" s="26">
        <v>3</v>
      </c>
      <c r="D25" s="26">
        <v>4</v>
      </c>
      <c r="E25" s="26">
        <v>5</v>
      </c>
      <c r="F25" s="26">
        <v>6</v>
      </c>
      <c r="G25" s="26">
        <v>7</v>
      </c>
      <c r="J25" s="27">
        <v>1</v>
      </c>
      <c r="K25" s="27">
        <v>2</v>
      </c>
      <c r="L25" s="27">
        <v>3</v>
      </c>
      <c r="M25" s="27">
        <v>4</v>
      </c>
      <c r="N25" s="27">
        <v>5</v>
      </c>
      <c r="O25" s="27">
        <v>6</v>
      </c>
      <c r="P25" s="27">
        <v>7</v>
      </c>
      <c r="S25" s="22">
        <v>1</v>
      </c>
      <c r="T25" s="22">
        <v>2</v>
      </c>
      <c r="U25" s="22">
        <v>3</v>
      </c>
      <c r="V25" s="22">
        <v>4</v>
      </c>
      <c r="W25" s="22">
        <v>5</v>
      </c>
      <c r="X25" s="22">
        <v>6</v>
      </c>
      <c r="Y25" s="22">
        <v>7</v>
      </c>
    </row>
    <row r="26" spans="1:25" ht="15.6">
      <c r="A26" s="16" t="s">
        <v>4</v>
      </c>
      <c r="B26" s="3">
        <f>E2</f>
        <v>35.000399999999999</v>
      </c>
      <c r="C26" s="2"/>
      <c r="D26" s="2" t="s">
        <v>48</v>
      </c>
      <c r="E26" s="2">
        <f>$E$10</f>
        <v>0.44687831117654231</v>
      </c>
      <c r="F26" s="5">
        <f>F18</f>
        <v>0.99999999962808217</v>
      </c>
      <c r="G26" s="5">
        <f>(E26*F26)</f>
        <v>0.44687831101034031</v>
      </c>
      <c r="J26" s="19" t="s">
        <v>6</v>
      </c>
      <c r="K26" s="3">
        <f>G2</f>
        <v>8.0001999999999995</v>
      </c>
      <c r="L26" s="2"/>
      <c r="M26" s="2" t="s">
        <v>48</v>
      </c>
      <c r="N26" s="2">
        <f>$G$10</f>
        <v>4.2071367935927486E-4</v>
      </c>
      <c r="O26" s="5">
        <f>N18</f>
        <v>0.38468789609667603</v>
      </c>
      <c r="P26" s="5">
        <f>(N26*O26)</f>
        <v>1.61843460171811E-4</v>
      </c>
      <c r="S26" s="22" t="s">
        <v>6</v>
      </c>
      <c r="T26" s="3">
        <f>G2</f>
        <v>8.0001999999999995</v>
      </c>
      <c r="U26" s="2"/>
      <c r="V26" s="2" t="s">
        <v>48</v>
      </c>
      <c r="W26" s="2">
        <f>$G$10</f>
        <v>4.2071367935927486E-4</v>
      </c>
      <c r="X26" s="5">
        <f>W18</f>
        <v>0.91381643337100027</v>
      </c>
      <c r="Y26" s="5">
        <f>(W26*X26)</f>
        <v>3.8445507394248318E-4</v>
      </c>
    </row>
    <row r="27" spans="1:25" ht="15.6">
      <c r="A27" s="16" t="s">
        <v>49</v>
      </c>
      <c r="B27" s="2"/>
      <c r="C27" s="2">
        <f>$B$13</f>
        <v>1.8E-3</v>
      </c>
      <c r="D27" s="4">
        <f>SQRT(3)</f>
        <v>1.7320508075688772</v>
      </c>
      <c r="E27" s="2">
        <f>$B$18</f>
        <v>1.0392304845413265E-3</v>
      </c>
      <c r="F27" s="5">
        <f>F18</f>
        <v>0.99999999962808217</v>
      </c>
      <c r="G27" s="5">
        <f t="shared" ref="G27:G34" si="5">(E27*F27)</f>
        <v>1.0392304841548182E-3</v>
      </c>
      <c r="J27" s="19" t="s">
        <v>50</v>
      </c>
      <c r="K27" s="2"/>
      <c r="L27" s="2">
        <f>$B$13</f>
        <v>1.8E-3</v>
      </c>
      <c r="M27" s="4">
        <f>SQRT(3)</f>
        <v>1.7320508075688772</v>
      </c>
      <c r="N27" s="2">
        <f>$B$18</f>
        <v>1.0392304845413265E-3</v>
      </c>
      <c r="O27" s="5">
        <f>N18</f>
        <v>0.38468789609667603</v>
      </c>
      <c r="P27" s="5">
        <f t="shared" ref="P27:P34" si="6">(N27*O27)</f>
        <v>3.9977938865773209E-4</v>
      </c>
      <c r="S27" s="22" t="s">
        <v>50</v>
      </c>
      <c r="T27" s="2"/>
      <c r="U27" s="2">
        <f>$B$13</f>
        <v>1.8E-3</v>
      </c>
      <c r="V27" s="4">
        <f>SQRT(3)</f>
        <v>1.7320508075688772</v>
      </c>
      <c r="W27" s="2">
        <f>$B$18</f>
        <v>1.0392304845413265E-3</v>
      </c>
      <c r="X27" s="5">
        <f>W18</f>
        <v>0.91381643337100027</v>
      </c>
      <c r="Y27" s="5">
        <f t="shared" ref="Y27:Y34" si="7">(W27*X27)</f>
        <v>9.4966589483397139E-4</v>
      </c>
    </row>
    <row r="28" spans="1:25" ht="15.6">
      <c r="A28" s="16" t="s">
        <v>2</v>
      </c>
      <c r="B28" s="3">
        <f>C2</f>
        <v>13.0009</v>
      </c>
      <c r="C28" s="2"/>
      <c r="D28" s="2" t="s">
        <v>48</v>
      </c>
      <c r="E28" s="2">
        <f>$C$10</f>
        <v>7.6485292703887698E-4</v>
      </c>
      <c r="F28" s="5">
        <f>F19</f>
        <v>-0.99999999962808217</v>
      </c>
      <c r="G28" s="5">
        <f t="shared" si="5"/>
        <v>-7.6485292675441453E-4</v>
      </c>
      <c r="J28" s="19" t="s">
        <v>2</v>
      </c>
      <c r="K28" s="3">
        <f>C2</f>
        <v>13.0009</v>
      </c>
      <c r="L28" s="2"/>
      <c r="M28" s="2" t="s">
        <v>48</v>
      </c>
      <c r="N28" s="2">
        <f>$C$10</f>
        <v>7.6485292703887698E-4</v>
      </c>
      <c r="O28" s="5">
        <f>N19</f>
        <v>-0.38468789609667603</v>
      </c>
      <c r="P28" s="5">
        <f t="shared" si="6"/>
        <v>-2.9422966332597002E-4</v>
      </c>
      <c r="S28" s="22" t="s">
        <v>4</v>
      </c>
      <c r="T28" s="3">
        <f>E2</f>
        <v>35.000399999999999</v>
      </c>
      <c r="U28" s="2"/>
      <c r="V28" s="2" t="s">
        <v>48</v>
      </c>
      <c r="W28" s="2">
        <f>E10</f>
        <v>0.44687831117654231</v>
      </c>
      <c r="X28" s="5">
        <f>W19</f>
        <v>-0.91381643337100027</v>
      </c>
      <c r="Y28" s="10">
        <f>(W28*X28)</f>
        <v>-0.40836474447020388</v>
      </c>
    </row>
    <row r="29" spans="1:25" ht="15.6">
      <c r="A29" s="16" t="s">
        <v>51</v>
      </c>
      <c r="B29" s="2">
        <v>0</v>
      </c>
      <c r="C29" s="3">
        <f>$B$13</f>
        <v>1.8E-3</v>
      </c>
      <c r="D29" s="4">
        <f>SQRT(3)</f>
        <v>1.7320508075688772</v>
      </c>
      <c r="E29">
        <f>$B$18</f>
        <v>1.0392304845413265E-3</v>
      </c>
      <c r="F29" s="5">
        <f>F19</f>
        <v>-0.99999999962808217</v>
      </c>
      <c r="G29" s="5">
        <f t="shared" si="5"/>
        <v>-1.0392304841548182E-3</v>
      </c>
      <c r="J29" s="19" t="s">
        <v>51</v>
      </c>
      <c r="K29" s="2">
        <v>0</v>
      </c>
      <c r="L29" s="3">
        <f>$B$13</f>
        <v>1.8E-3</v>
      </c>
      <c r="M29" s="4">
        <f>SQRT(3)</f>
        <v>1.7320508075688772</v>
      </c>
      <c r="N29">
        <f>$B$18</f>
        <v>1.0392304845413265E-3</v>
      </c>
      <c r="O29" s="5">
        <f>N19</f>
        <v>-0.38468789609667603</v>
      </c>
      <c r="P29" s="5">
        <f t="shared" si="6"/>
        <v>-3.9977938865773209E-4</v>
      </c>
      <c r="S29" s="22" t="s">
        <v>49</v>
      </c>
      <c r="T29" s="2">
        <v>0</v>
      </c>
      <c r="U29" s="3">
        <f>$B$13</f>
        <v>1.8E-3</v>
      </c>
      <c r="V29" s="4">
        <f>SQRT(3)</f>
        <v>1.7320508075688772</v>
      </c>
      <c r="W29">
        <f>$B$18</f>
        <v>1.0392304845413265E-3</v>
      </c>
      <c r="X29" s="5">
        <f>W19</f>
        <v>-0.91381643337100027</v>
      </c>
      <c r="Y29" s="5">
        <f t="shared" si="7"/>
        <v>-9.4966589483397139E-4</v>
      </c>
    </row>
    <row r="30" spans="1:25" ht="18">
      <c r="A30" s="16" t="s">
        <v>3</v>
      </c>
      <c r="B30" s="3">
        <f>D2</f>
        <v>12.9998</v>
      </c>
      <c r="C30" s="7"/>
      <c r="D30" s="2" t="s">
        <v>48</v>
      </c>
      <c r="E30">
        <f>$D$10</f>
        <v>4.278047488399344</v>
      </c>
      <c r="F30" s="5">
        <f>F16</f>
        <v>2.7273347111399229E-5</v>
      </c>
      <c r="G30" s="5">
        <f t="shared" si="5"/>
        <v>1.1667667411016498E-4</v>
      </c>
      <c r="J30" s="19" t="s">
        <v>5</v>
      </c>
      <c r="K30" s="3">
        <f>F2</f>
        <v>24.999500000000001</v>
      </c>
      <c r="L30" s="7"/>
      <c r="M30" s="2" t="s">
        <v>48</v>
      </c>
      <c r="N30">
        <f>F10</f>
        <v>4.0373258476278606E-4</v>
      </c>
      <c r="O30" s="5">
        <f>N16</f>
        <v>0.92314479163495944</v>
      </c>
      <c r="P30" s="5">
        <f t="shared" si="6"/>
        <v>3.7270363283708574E-4</v>
      </c>
      <c r="S30" s="22" t="s">
        <v>5</v>
      </c>
      <c r="T30" s="3">
        <f>F2</f>
        <v>24.999500000000001</v>
      </c>
      <c r="U30" s="7"/>
      <c r="V30" s="2" t="s">
        <v>48</v>
      </c>
      <c r="W30">
        <f>F11</f>
        <v>1.8055470085225707E-4</v>
      </c>
      <c r="X30" s="5">
        <f>W16</f>
        <v>0.40612747518618353</v>
      </c>
      <c r="Y30" s="5">
        <f t="shared" si="7"/>
        <v>7.3328224790123825E-5</v>
      </c>
    </row>
    <row r="31" spans="1:25" ht="15.6">
      <c r="A31" s="16" t="s">
        <v>52</v>
      </c>
      <c r="B31" s="2">
        <v>0</v>
      </c>
      <c r="C31" s="3">
        <f>$B$13</f>
        <v>1.8E-3</v>
      </c>
      <c r="D31" s="4">
        <f>SQRT(3)</f>
        <v>1.7320508075688772</v>
      </c>
      <c r="E31">
        <f>$B$17</f>
        <v>1.0392304845413265E-3</v>
      </c>
      <c r="F31" s="5">
        <f>F16</f>
        <v>2.7273347111399229E-5</v>
      </c>
      <c r="G31" s="5">
        <f t="shared" si="5"/>
        <v>2.8343293733643209E-8</v>
      </c>
      <c r="J31" s="19" t="s">
        <v>53</v>
      </c>
      <c r="K31" s="2">
        <v>0</v>
      </c>
      <c r="L31" s="3">
        <f>$B$13</f>
        <v>1.8E-3</v>
      </c>
      <c r="M31" s="4">
        <f>SQRT(3)</f>
        <v>1.7320508075688772</v>
      </c>
      <c r="N31">
        <f>$B$17</f>
        <v>1.0392304845413265E-3</v>
      </c>
      <c r="O31" s="5">
        <f>N16</f>
        <v>0.92314479163495944</v>
      </c>
      <c r="P31" s="5">
        <f t="shared" si="6"/>
        <v>9.5936020911260075E-4</v>
      </c>
      <c r="S31" s="22" t="s">
        <v>53</v>
      </c>
      <c r="T31" s="2">
        <v>0</v>
      </c>
      <c r="U31" s="3">
        <f>$B$13</f>
        <v>1.8E-3</v>
      </c>
      <c r="V31" s="4">
        <f>SQRT(3)</f>
        <v>1.7320508075688772</v>
      </c>
      <c r="W31">
        <f>$B$17</f>
        <v>1.0392304845413265E-3</v>
      </c>
      <c r="X31" s="5">
        <f>W16</f>
        <v>0.40612747518618353</v>
      </c>
      <c r="Y31" s="5">
        <f t="shared" si="7"/>
        <v>4.2206005282328305E-4</v>
      </c>
    </row>
    <row r="32" spans="1:25" ht="15.6">
      <c r="A32" s="16" t="s">
        <v>1</v>
      </c>
      <c r="B32" s="3">
        <f>B2</f>
        <v>12.9992</v>
      </c>
      <c r="C32" s="2"/>
      <c r="D32" s="2" t="s">
        <v>48</v>
      </c>
      <c r="E32">
        <f>$B$10</f>
        <v>6.9065186599354827E-4</v>
      </c>
      <c r="F32" s="5">
        <f>F17</f>
        <v>-2.7273347111399229E-5</v>
      </c>
      <c r="G32" s="5">
        <f t="shared" si="5"/>
        <v>-1.8836388074377628E-8</v>
      </c>
      <c r="J32" s="19" t="s">
        <v>1</v>
      </c>
      <c r="K32" s="3">
        <f>B2</f>
        <v>12.9992</v>
      </c>
      <c r="L32" s="2"/>
      <c r="M32" s="2" t="s">
        <v>48</v>
      </c>
      <c r="N32">
        <f>$B$10</f>
        <v>6.9065186599354827E-4</v>
      </c>
      <c r="O32" s="5">
        <f>N17</f>
        <v>-0.92314479163495944</v>
      </c>
      <c r="P32" s="5">
        <f t="shared" si="6"/>
        <v>-6.375716729249101E-4</v>
      </c>
      <c r="S32" s="22" t="s">
        <v>3</v>
      </c>
      <c r="T32" s="3">
        <f>D2</f>
        <v>12.9998</v>
      </c>
      <c r="U32" s="2"/>
      <c r="V32" s="2" t="s">
        <v>48</v>
      </c>
      <c r="W32">
        <f>D11</f>
        <v>1.9132009990066352</v>
      </c>
      <c r="X32" s="5">
        <f>W17</f>
        <v>-0.40612747518618353</v>
      </c>
      <c r="Y32" s="5">
        <f t="shared" si="7"/>
        <v>-0.77700349125024881</v>
      </c>
    </row>
    <row r="33" spans="1:25" ht="15.6">
      <c r="A33" s="16" t="s">
        <v>54</v>
      </c>
      <c r="B33" s="2">
        <v>0</v>
      </c>
      <c r="C33" s="3">
        <f>$B$13</f>
        <v>1.8E-3</v>
      </c>
      <c r="D33" s="4">
        <f>SQRT(3)</f>
        <v>1.7320508075688772</v>
      </c>
      <c r="E33">
        <f>$B$17</f>
        <v>1.0392304845413265E-3</v>
      </c>
      <c r="F33" s="5">
        <f>F17</f>
        <v>-2.7273347111399229E-5</v>
      </c>
      <c r="G33" s="5">
        <f t="shared" si="5"/>
        <v>-2.8343293733643209E-8</v>
      </c>
      <c r="J33" s="19" t="s">
        <v>54</v>
      </c>
      <c r="K33" s="2">
        <v>0</v>
      </c>
      <c r="L33" s="3">
        <f>$B$13</f>
        <v>1.8E-3</v>
      </c>
      <c r="M33" s="4">
        <f>SQRT(3)</f>
        <v>1.7320508075688772</v>
      </c>
      <c r="N33">
        <f>$B$17</f>
        <v>1.0392304845413265E-3</v>
      </c>
      <c r="O33" s="5">
        <f>N17</f>
        <v>-0.92314479163495944</v>
      </c>
      <c r="P33" s="5">
        <f t="shared" si="6"/>
        <v>-9.5936020911260075E-4</v>
      </c>
      <c r="S33" s="22" t="s">
        <v>52</v>
      </c>
      <c r="T33" s="2">
        <v>0</v>
      </c>
      <c r="U33" s="3">
        <f>$B$13</f>
        <v>1.8E-3</v>
      </c>
      <c r="V33" s="4">
        <f>SQRT(3)</f>
        <v>1.7320508075688772</v>
      </c>
      <c r="W33">
        <f>$B$17</f>
        <v>1.0392304845413265E-3</v>
      </c>
      <c r="X33" s="5">
        <f>W17</f>
        <v>-0.40612747518618353</v>
      </c>
      <c r="Y33" s="5">
        <f t="shared" si="7"/>
        <v>-4.2206005282328305E-4</v>
      </c>
    </row>
    <row r="34" spans="1:25" ht="15.6">
      <c r="A34" s="16" t="s">
        <v>17</v>
      </c>
      <c r="B34" s="2">
        <v>0</v>
      </c>
      <c r="C34" s="3">
        <f>$B$14</f>
        <v>2</v>
      </c>
      <c r="D34" s="4">
        <f>SQRT(3)</f>
        <v>1.7320508075688772</v>
      </c>
      <c r="E34">
        <f>$B$19</f>
        <v>1.1547005383792517</v>
      </c>
      <c r="F34" s="1">
        <f xml:space="preserve"> $B$15 * F15</f>
        <v>2.5299425009409304E-4</v>
      </c>
      <c r="G34" s="5">
        <f t="shared" si="5"/>
        <v>2.9213259679050429E-4</v>
      </c>
      <c r="J34" s="19" t="s">
        <v>17</v>
      </c>
      <c r="K34" s="2">
        <v>0</v>
      </c>
      <c r="L34" s="3">
        <f>$B$14</f>
        <v>2</v>
      </c>
      <c r="M34" s="4">
        <f>SQRT(3)</f>
        <v>1.7320508075688772</v>
      </c>
      <c r="N34">
        <f>$B$19</f>
        <v>1.1547005383792517</v>
      </c>
      <c r="O34" s="1">
        <f xml:space="preserve"> $B$15 * N15</f>
        <v>1.4949274615478838E-4</v>
      </c>
      <c r="P34" s="5">
        <f t="shared" si="6"/>
        <v>1.7261935446872696E-4</v>
      </c>
      <c r="S34" s="22" t="s">
        <v>17</v>
      </c>
      <c r="T34" s="2">
        <v>0</v>
      </c>
      <c r="U34" s="3">
        <f>$B$14</f>
        <v>2</v>
      </c>
      <c r="V34" s="4">
        <f>SQRT(3)</f>
        <v>1.7320508075688772</v>
      </c>
      <c r="W34">
        <f>$B$19</f>
        <v>1.1547005383792517</v>
      </c>
      <c r="X34" s="1">
        <f xml:space="preserve"> $B$15 * W15</f>
        <v>3.3978629477539627E-4</v>
      </c>
      <c r="Y34" s="5">
        <f t="shared" si="7"/>
        <v>3.9235141751104119E-4</v>
      </c>
    </row>
    <row r="35" spans="1:25">
      <c r="A35" s="16" t="s">
        <v>55</v>
      </c>
      <c r="B35" s="33">
        <f>SQRT( ((B26+B27)-(B28+B29))^2 + ((B30+B31)-(B32+B33))^2 ) + H2*$B$15*$B$14</f>
        <v>22.000005996682191</v>
      </c>
      <c r="C35" s="8"/>
      <c r="D35" s="8"/>
      <c r="E35" s="8"/>
      <c r="F35" s="8"/>
      <c r="G35" s="9">
        <f>SQRT(SUMSQ(G26:G34))</f>
        <v>0.446881493022876</v>
      </c>
      <c r="H35" s="1"/>
      <c r="J35" s="19" t="s">
        <v>55</v>
      </c>
      <c r="K35" s="33">
        <f>SQRT( ((K26+K27)-(K28+K29))^2 + ((K30+K31)-(K32+K33))^2 ) + Q2*$B$15*$B$14</f>
        <v>13.00054616468093</v>
      </c>
      <c r="L35" s="8"/>
      <c r="M35" s="8"/>
      <c r="N35" s="8"/>
      <c r="O35" s="8"/>
      <c r="P35" s="9">
        <f>SQRT(SUMSQ(P26:P34))</f>
        <v>1.6877080964470645E-3</v>
      </c>
      <c r="S35" s="22" t="s">
        <v>55</v>
      </c>
      <c r="T35" s="33">
        <f>SQRT( ((T26+T27)-(T28+T29))^2 + ((T30+T31)-(T32+T33))^2 ) + Z2*$B$15*$B$14</f>
        <v>29.54663432829533</v>
      </c>
      <c r="U35" s="8"/>
      <c r="V35" s="8"/>
      <c r="W35" s="8"/>
      <c r="X35" s="8"/>
      <c r="Y35" s="9">
        <f>SQRT(SUMSQ(Y26:Y34))</f>
        <v>0.87778052898412917</v>
      </c>
    </row>
    <row r="36" spans="1:25">
      <c r="G36">
        <f>B16*G35</f>
        <v>0.89376298604575199</v>
      </c>
      <c r="P36">
        <f>B16*P35</f>
        <v>3.3754161928941291E-3</v>
      </c>
      <c r="Y36">
        <f>B16*Y35</f>
        <v>1.7555610579682583</v>
      </c>
    </row>
    <row r="39" spans="1:25">
      <c r="E39" s="23" t="s">
        <v>14</v>
      </c>
      <c r="F39" s="3">
        <f>(D8 + PX28) - (B8 + PX27)</f>
        <v>2.3997799999999998</v>
      </c>
      <c r="M39" s="12" t="s">
        <v>15</v>
      </c>
      <c r="N39" s="3">
        <f>(F8 + PX28) - (B8 + PX27)</f>
        <v>11.999859999999998</v>
      </c>
      <c r="V39" s="32" t="s">
        <v>16</v>
      </c>
      <c r="W39" s="3">
        <f>(F8 + PX28) - (D8 + PX27)</f>
        <v>9.6000799999999984</v>
      </c>
    </row>
    <row r="40" spans="1:25" ht="15.6" customHeight="1">
      <c r="E40" s="23" t="s">
        <v>18</v>
      </c>
      <c r="F40" s="3">
        <f>(E8 + PY28) - (C8 + PY27)</f>
        <v>22.2</v>
      </c>
      <c r="M40" s="12" t="s">
        <v>19</v>
      </c>
      <c r="N40" s="3">
        <f>(C8 + PY28) - (G8 + PY27)</f>
        <v>5.0001200000000008</v>
      </c>
      <c r="V40" s="32" t="s">
        <v>20</v>
      </c>
      <c r="W40" s="3">
        <f>(E8 + PY28) - (G8 + PY27)</f>
        <v>27.200119999999998</v>
      </c>
    </row>
    <row r="41" spans="1:25">
      <c r="E41" s="23" t="s">
        <v>22</v>
      </c>
      <c r="F41" s="3">
        <f>H8</f>
        <v>22.625035991227001</v>
      </c>
      <c r="M41" s="12" t="s">
        <v>23</v>
      </c>
      <c r="N41" s="3">
        <f>I8</f>
        <v>12.999916928245408</v>
      </c>
      <c r="V41" s="32" t="s">
        <v>24</v>
      </c>
      <c r="W41" s="3">
        <f>J8</f>
        <v>29.094937565292707</v>
      </c>
    </row>
    <row r="42" spans="1:25">
      <c r="E42" s="23" t="s">
        <v>26</v>
      </c>
      <c r="F42" s="3">
        <f>F39/F41</f>
        <v>0.10606745558020458</v>
      </c>
      <c r="M42" s="12" t="s">
        <v>27</v>
      </c>
      <c r="N42" s="3">
        <f>N39/N41</f>
        <v>0.92307205240115431</v>
      </c>
      <c r="V42" s="32" t="s">
        <v>27</v>
      </c>
      <c r="W42" s="3">
        <f>W39/W41</f>
        <v>0.32995705794027602</v>
      </c>
    </row>
    <row r="43" spans="1:25">
      <c r="E43" s="23" t="s">
        <v>29</v>
      </c>
      <c r="F43" s="3">
        <f>-(F39)/F41</f>
        <v>-0.10606745558020458</v>
      </c>
      <c r="M43" s="12" t="s">
        <v>29</v>
      </c>
      <c r="N43" s="3">
        <f>-(N39)/N41</f>
        <v>-0.92307205240115431</v>
      </c>
      <c r="V43" s="32" t="s">
        <v>26</v>
      </c>
      <c r="W43" s="3">
        <f>-W39/W41</f>
        <v>-0.32995705794027602</v>
      </c>
    </row>
    <row r="44" spans="1:25">
      <c r="E44" s="23" t="s">
        <v>31</v>
      </c>
      <c r="F44" s="6">
        <f>F40/F41</f>
        <v>0.98121390872519221</v>
      </c>
      <c r="M44" s="12" t="s">
        <v>32</v>
      </c>
      <c r="N44" s="3">
        <f>N40/N41</f>
        <v>0.38462707320352579</v>
      </c>
      <c r="V44" s="32" t="s">
        <v>32</v>
      </c>
      <c r="W44" s="3">
        <f>W40/W41</f>
        <v>0.9348746646718008</v>
      </c>
    </row>
    <row r="45" spans="1:25">
      <c r="E45" s="23" t="s">
        <v>34</v>
      </c>
      <c r="F45" s="6">
        <f>-(F40)/F41</f>
        <v>-0.98121390872519221</v>
      </c>
      <c r="M45" s="12" t="s">
        <v>34</v>
      </c>
      <c r="N45" s="3">
        <f>-N40/N41</f>
        <v>-0.38462707320352579</v>
      </c>
      <c r="V45" s="32" t="s">
        <v>31</v>
      </c>
      <c r="W45" s="3">
        <f>-W40/W41</f>
        <v>-0.9348746646718008</v>
      </c>
    </row>
    <row r="46" spans="1:25">
      <c r="E46" s="23" t="s">
        <v>35</v>
      </c>
      <c r="F46" s="6">
        <f xml:space="preserve"> $B$15 *F41</f>
        <v>2.6018791389911052E-4</v>
      </c>
      <c r="M46" s="12" t="s">
        <v>35</v>
      </c>
      <c r="N46" s="6">
        <f>$B$15 *N41</f>
        <v>1.494990446748222E-4</v>
      </c>
      <c r="V46" s="32" t="s">
        <v>35</v>
      </c>
      <c r="W46" s="6">
        <f>$B$15 *W41</f>
        <v>3.345917820008661E-4</v>
      </c>
    </row>
    <row r="49" spans="1:25" ht="15" thickBot="1"/>
    <row r="50" spans="1:25" ht="15" thickBot="1">
      <c r="A50" s="34" t="s">
        <v>56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6"/>
    </row>
    <row r="51" spans="1:25" ht="15" thickBot="1">
      <c r="A51" s="37" t="s">
        <v>57</v>
      </c>
      <c r="B51" s="38"/>
      <c r="C51" s="38"/>
      <c r="D51" s="38"/>
      <c r="E51" s="38"/>
      <c r="F51" s="38"/>
      <c r="G51" s="39"/>
      <c r="J51" s="40" t="s">
        <v>58</v>
      </c>
      <c r="K51" s="41"/>
      <c r="L51" s="41"/>
      <c r="M51" s="41"/>
      <c r="N51" s="41"/>
      <c r="O51" s="41"/>
      <c r="P51" s="42"/>
      <c r="S51" s="43" t="s">
        <v>59</v>
      </c>
      <c r="T51" s="44"/>
      <c r="U51" s="44"/>
      <c r="V51" s="44"/>
      <c r="W51" s="44"/>
      <c r="X51" s="44"/>
      <c r="Y51" s="45"/>
    </row>
    <row r="52" spans="1:25" ht="57.6" customHeight="1">
      <c r="A52" s="51" t="s">
        <v>40</v>
      </c>
      <c r="B52" s="51" t="s">
        <v>41</v>
      </c>
      <c r="C52" s="51" t="s">
        <v>42</v>
      </c>
      <c r="D52" s="51" t="s">
        <v>43</v>
      </c>
      <c r="E52" s="50" t="s">
        <v>44</v>
      </c>
      <c r="F52" s="50" t="s">
        <v>45</v>
      </c>
      <c r="G52" s="51" t="s">
        <v>46</v>
      </c>
      <c r="J52" s="49" t="s">
        <v>40</v>
      </c>
      <c r="K52" s="49" t="s">
        <v>41</v>
      </c>
      <c r="L52" s="49" t="s">
        <v>42</v>
      </c>
      <c r="M52" s="49" t="s">
        <v>43</v>
      </c>
      <c r="N52" s="48" t="s">
        <v>44</v>
      </c>
      <c r="O52" s="48" t="s">
        <v>45</v>
      </c>
      <c r="P52" s="49" t="s">
        <v>46</v>
      </c>
      <c r="S52" s="46" t="s">
        <v>40</v>
      </c>
      <c r="T52" s="46" t="s">
        <v>41</v>
      </c>
      <c r="U52" s="46" t="s">
        <v>42</v>
      </c>
      <c r="V52" s="46" t="s">
        <v>43</v>
      </c>
      <c r="W52" s="46" t="s">
        <v>44</v>
      </c>
      <c r="X52" s="46" t="s">
        <v>45</v>
      </c>
      <c r="Y52" s="46" t="s">
        <v>46</v>
      </c>
    </row>
    <row r="53" spans="1:25" ht="15.6" customHeight="1">
      <c r="A53" s="62"/>
      <c r="B53" s="62"/>
      <c r="C53" s="62"/>
      <c r="D53" s="62"/>
      <c r="E53" s="51"/>
      <c r="F53" s="51"/>
      <c r="G53" s="62"/>
      <c r="J53" s="59"/>
      <c r="K53" s="59"/>
      <c r="L53" s="59"/>
      <c r="M53" s="59"/>
      <c r="N53" s="49"/>
      <c r="O53" s="49"/>
      <c r="P53" s="59"/>
      <c r="S53" s="47"/>
      <c r="T53" s="47"/>
      <c r="U53" s="47"/>
      <c r="V53" s="47"/>
      <c r="W53" s="47"/>
      <c r="X53" s="47"/>
      <c r="Y53" s="47"/>
    </row>
    <row r="54" spans="1:25">
      <c r="A54" s="25">
        <v>1</v>
      </c>
      <c r="B54" s="25">
        <v>2</v>
      </c>
      <c r="C54" s="25">
        <v>3</v>
      </c>
      <c r="D54" s="25">
        <v>4</v>
      </c>
      <c r="E54" s="25">
        <v>5</v>
      </c>
      <c r="F54" s="25">
        <v>6</v>
      </c>
      <c r="G54" s="25">
        <v>7</v>
      </c>
      <c r="J54" s="29">
        <v>1</v>
      </c>
      <c r="K54" s="29">
        <v>2</v>
      </c>
      <c r="L54" s="29">
        <v>3</v>
      </c>
      <c r="M54" s="29">
        <v>4</v>
      </c>
      <c r="N54" s="29">
        <v>5</v>
      </c>
      <c r="O54" s="29">
        <v>6</v>
      </c>
      <c r="P54" s="29">
        <v>7</v>
      </c>
      <c r="S54" s="31">
        <v>1</v>
      </c>
      <c r="T54" s="31">
        <v>2</v>
      </c>
      <c r="U54" s="31">
        <v>3</v>
      </c>
      <c r="V54" s="31">
        <v>4</v>
      </c>
      <c r="W54" s="31">
        <v>5</v>
      </c>
      <c r="X54" s="31">
        <v>6</v>
      </c>
      <c r="Y54" s="31">
        <v>7</v>
      </c>
    </row>
    <row r="55" spans="1:25" ht="15.6">
      <c r="A55" s="24" t="s">
        <v>4</v>
      </c>
      <c r="B55" s="3">
        <f>E8</f>
        <v>35.200099999999999</v>
      </c>
      <c r="C55" s="2"/>
      <c r="D55" s="2" t="s">
        <v>48</v>
      </c>
      <c r="E55" s="2">
        <f>$E$11</f>
        <v>0.1998500562922105</v>
      </c>
      <c r="F55" s="5">
        <f>F44</f>
        <v>0.98121390872519221</v>
      </c>
      <c r="G55" s="5">
        <f>(E55*F55)</f>
        <v>0.19609565489342956</v>
      </c>
      <c r="J55" s="28" t="s">
        <v>6</v>
      </c>
      <c r="K55" s="3">
        <f>G8</f>
        <v>7.999979999999999</v>
      </c>
      <c r="L55" s="2"/>
      <c r="M55" s="2" t="s">
        <v>48</v>
      </c>
      <c r="N55" s="2">
        <f>$G$11</f>
        <v>1.8814887722227774E-4</v>
      </c>
      <c r="O55" s="5">
        <f>N44</f>
        <v>0.38462707320352579</v>
      </c>
      <c r="P55" s="5">
        <f>(N55*O55)</f>
        <v>7.2367151972534214E-5</v>
      </c>
      <c r="S55" s="30" t="s">
        <v>6</v>
      </c>
      <c r="T55" s="3">
        <f>G8</f>
        <v>7.999979999999999</v>
      </c>
      <c r="U55" s="2"/>
      <c r="V55" s="2" t="s">
        <v>48</v>
      </c>
      <c r="W55" s="2">
        <f>$G$11</f>
        <v>1.8814887722227774E-4</v>
      </c>
      <c r="X55" s="5">
        <f>W44</f>
        <v>0.9348746646718008</v>
      </c>
      <c r="Y55" s="5">
        <f>(W55*X55)</f>
        <v>1.7589561850155273E-4</v>
      </c>
    </row>
    <row r="56" spans="1:25" ht="15.6">
      <c r="A56" s="24" t="s">
        <v>49</v>
      </c>
      <c r="B56" s="2"/>
      <c r="C56" s="2">
        <f>$B$13</f>
        <v>1.8E-3</v>
      </c>
      <c r="D56" s="4">
        <f>SQRT(3)</f>
        <v>1.7320508075688772</v>
      </c>
      <c r="E56" s="2">
        <f>$B$181</f>
        <v>0</v>
      </c>
      <c r="F56" s="5">
        <f>F44</f>
        <v>0.98121390872519221</v>
      </c>
      <c r="G56" s="5">
        <f t="shared" ref="G56:G63" si="8">(E56*F56)</f>
        <v>0</v>
      </c>
      <c r="J56" s="28" t="s">
        <v>50</v>
      </c>
      <c r="K56" s="2"/>
      <c r="L56" s="2">
        <f>$B$13</f>
        <v>1.8E-3</v>
      </c>
      <c r="M56" s="4">
        <f>SQRT(3)</f>
        <v>1.7320508075688772</v>
      </c>
      <c r="N56" s="2">
        <f>$B$18</f>
        <v>1.0392304845413265E-3</v>
      </c>
      <c r="O56" s="5">
        <f>N44</f>
        <v>0.38462707320352579</v>
      </c>
      <c r="P56" s="5">
        <f t="shared" ref="P56:P63" si="9">(N56*O56)</f>
        <v>3.9971617965301235E-4</v>
      </c>
      <c r="S56" s="30" t="s">
        <v>50</v>
      </c>
      <c r="T56" s="2"/>
      <c r="U56" s="2">
        <f>$B$13</f>
        <v>1.8E-3</v>
      </c>
      <c r="V56" s="4">
        <f>SQRT(3)</f>
        <v>1.7320508075688772</v>
      </c>
      <c r="W56" s="2">
        <f>$B$18</f>
        <v>1.0392304845413265E-3</v>
      </c>
      <c r="X56" s="5">
        <f>W44</f>
        <v>0.9348746646718008</v>
      </c>
      <c r="Y56" s="5">
        <f t="shared" ref="Y56" si="10">(W56*X56)</f>
        <v>9.7155025075228564E-4</v>
      </c>
    </row>
    <row r="57" spans="1:25" ht="15.6">
      <c r="A57" s="24" t="s">
        <v>2</v>
      </c>
      <c r="B57" s="3">
        <f>C8</f>
        <v>13.0001</v>
      </c>
      <c r="C57" s="2"/>
      <c r="D57" s="2" t="s">
        <v>48</v>
      </c>
      <c r="E57" s="2">
        <f>$C$11</f>
        <v>3.4205262752972314E-4</v>
      </c>
      <c r="F57" s="5">
        <f>F45</f>
        <v>-0.98121390872519221</v>
      </c>
      <c r="G57" s="5">
        <f t="shared" si="8"/>
        <v>-3.3562679564816194E-4</v>
      </c>
      <c r="J57" s="28" t="s">
        <v>2</v>
      </c>
      <c r="K57" s="3">
        <f>C8</f>
        <v>13.0001</v>
      </c>
      <c r="L57" s="2"/>
      <c r="M57" s="2" t="s">
        <v>48</v>
      </c>
      <c r="N57" s="2">
        <f>$C$11</f>
        <v>3.4205262752972314E-4</v>
      </c>
      <c r="O57" s="5">
        <f>N45</f>
        <v>-0.38462707320352579</v>
      </c>
      <c r="P57" s="5">
        <f t="shared" si="9"/>
        <v>-1.3156270100833317E-4</v>
      </c>
      <c r="S57" s="30" t="s">
        <v>4</v>
      </c>
      <c r="T57" s="3">
        <f>E8</f>
        <v>35.200099999999999</v>
      </c>
      <c r="U57" s="2"/>
      <c r="V57" s="2" t="s">
        <v>48</v>
      </c>
      <c r="W57" s="2">
        <f>E11</f>
        <v>0.1998500562922105</v>
      </c>
      <c r="X57" s="5">
        <f>W45</f>
        <v>-0.9348746646718008</v>
      </c>
      <c r="Y57" s="10">
        <f>(W57*X57)</f>
        <v>-0.18683475436082081</v>
      </c>
    </row>
    <row r="58" spans="1:25" ht="15.6">
      <c r="A58" s="24" t="s">
        <v>51</v>
      </c>
      <c r="B58" s="2">
        <v>0</v>
      </c>
      <c r="C58" s="3">
        <f>$B$13</f>
        <v>1.8E-3</v>
      </c>
      <c r="D58" s="4">
        <f>SQRT(3)</f>
        <v>1.7320508075688772</v>
      </c>
      <c r="E58">
        <f>$B$18</f>
        <v>1.0392304845413265E-3</v>
      </c>
      <c r="F58" s="5">
        <f>F45</f>
        <v>-0.98121390872519221</v>
      </c>
      <c r="G58" s="5">
        <f t="shared" si="8"/>
        <v>-1.0197074058031705E-3</v>
      </c>
      <c r="J58" s="28" t="s">
        <v>51</v>
      </c>
      <c r="K58" s="2">
        <v>0</v>
      </c>
      <c r="L58" s="3">
        <f>$B$13</f>
        <v>1.8E-3</v>
      </c>
      <c r="M58" s="4">
        <f>SQRT(3)</f>
        <v>1.7320508075688772</v>
      </c>
      <c r="N58">
        <f>$B$18</f>
        <v>1.0392304845413265E-3</v>
      </c>
      <c r="O58" s="5">
        <f>N45</f>
        <v>-0.38462707320352579</v>
      </c>
      <c r="P58" s="5">
        <f t="shared" si="9"/>
        <v>-3.9971617965301235E-4</v>
      </c>
      <c r="S58" s="30" t="s">
        <v>49</v>
      </c>
      <c r="T58" s="2">
        <v>0</v>
      </c>
      <c r="U58" s="3">
        <f>$B$13</f>
        <v>1.8E-3</v>
      </c>
      <c r="V58" s="4">
        <f>SQRT(3)</f>
        <v>1.7320508075688772</v>
      </c>
      <c r="W58">
        <f>$B$18</f>
        <v>1.0392304845413265E-3</v>
      </c>
      <c r="X58" s="5">
        <f>W45</f>
        <v>-0.9348746646718008</v>
      </c>
      <c r="Y58" s="5">
        <f t="shared" ref="Y58:Y63" si="11">(W58*X58)</f>
        <v>-9.7155025075228564E-4</v>
      </c>
    </row>
    <row r="59" spans="1:25" ht="18">
      <c r="A59" s="24" t="s">
        <v>3</v>
      </c>
      <c r="B59" s="3">
        <f>D8</f>
        <v>15.39986</v>
      </c>
      <c r="C59" s="7"/>
      <c r="D59" s="2" t="s">
        <v>48</v>
      </c>
      <c r="E59">
        <f>$D$11</f>
        <v>1.9132009990066352</v>
      </c>
      <c r="F59" s="5">
        <f>F42</f>
        <v>0.10606745558020458</v>
      </c>
      <c r="G59" s="5">
        <f t="shared" si="8"/>
        <v>0.20292836197813932</v>
      </c>
      <c r="J59" s="28" t="s">
        <v>5</v>
      </c>
      <c r="K59" s="3">
        <f>F8</f>
        <v>24.999939999999999</v>
      </c>
      <c r="L59" s="7"/>
      <c r="M59" s="2" t="s">
        <v>48</v>
      </c>
      <c r="N59">
        <f>F11</f>
        <v>1.8055470085225707E-4</v>
      </c>
      <c r="O59" s="5">
        <f>N42</f>
        <v>0.92307205240115431</v>
      </c>
      <c r="P59" s="5">
        <f t="shared" si="9"/>
        <v>1.6666499828636938E-4</v>
      </c>
      <c r="S59" s="30" t="s">
        <v>5</v>
      </c>
      <c r="T59" s="3">
        <f>F8</f>
        <v>24.999939999999999</v>
      </c>
      <c r="U59" s="7"/>
      <c r="V59" s="2" t="s">
        <v>48</v>
      </c>
      <c r="W59">
        <f>F36</f>
        <v>0</v>
      </c>
      <c r="X59" s="5">
        <f>W42</f>
        <v>0.32995705794027602</v>
      </c>
      <c r="Y59" s="5">
        <f t="shared" si="11"/>
        <v>0</v>
      </c>
    </row>
    <row r="60" spans="1:25" ht="15.6">
      <c r="A60" s="24" t="s">
        <v>52</v>
      </c>
      <c r="B60" s="2">
        <v>0</v>
      </c>
      <c r="C60" s="3">
        <f>$B$13</f>
        <v>1.8E-3</v>
      </c>
      <c r="D60" s="4">
        <f>SQRT(3)</f>
        <v>1.7320508075688772</v>
      </c>
      <c r="E60">
        <f>$B$17</f>
        <v>1.0392304845413265E-3</v>
      </c>
      <c r="F60" s="5">
        <f>F42</f>
        <v>0.10606745558020458</v>
      </c>
      <c r="G60" s="5">
        <f t="shared" si="8"/>
        <v>1.1022853325668164E-4</v>
      </c>
      <c r="J60" s="28" t="s">
        <v>53</v>
      </c>
      <c r="K60" s="2">
        <v>0</v>
      </c>
      <c r="L60" s="3">
        <f>$B$13</f>
        <v>1.8E-3</v>
      </c>
      <c r="M60" s="4">
        <f>SQRT(3)</f>
        <v>1.7320508075688772</v>
      </c>
      <c r="N60">
        <f>$B$17</f>
        <v>1.0392304845413265E-3</v>
      </c>
      <c r="O60" s="5">
        <f>N42</f>
        <v>0.92307205240115431</v>
      </c>
      <c r="P60" s="5">
        <f t="shared" si="9"/>
        <v>9.5928461628340834E-4</v>
      </c>
      <c r="S60" s="30" t="s">
        <v>53</v>
      </c>
      <c r="T60" s="2">
        <v>0</v>
      </c>
      <c r="U60" s="3">
        <f>$B$13</f>
        <v>1.8E-3</v>
      </c>
      <c r="V60" s="4">
        <f>SQRT(3)</f>
        <v>1.7320508075688772</v>
      </c>
      <c r="W60">
        <f>$B$17</f>
        <v>1.0392304845413265E-3</v>
      </c>
      <c r="X60" s="5">
        <f>W42</f>
        <v>0.32995705794027602</v>
      </c>
      <c r="Y60" s="5">
        <f t="shared" si="11"/>
        <v>3.4290143320110357E-4</v>
      </c>
    </row>
    <row r="61" spans="1:25" ht="15.6">
      <c r="A61" s="24" t="s">
        <v>1</v>
      </c>
      <c r="B61" s="3">
        <f>B8</f>
        <v>13.000080000000001</v>
      </c>
      <c r="C61" s="2"/>
      <c r="D61" s="2" t="s">
        <v>48</v>
      </c>
      <c r="E61">
        <f>$B$111</f>
        <v>0</v>
      </c>
      <c r="F61" s="5">
        <f>F43</f>
        <v>-0.10606745558020458</v>
      </c>
      <c r="G61" s="5">
        <f t="shared" si="8"/>
        <v>0</v>
      </c>
      <c r="J61" s="28" t="s">
        <v>1</v>
      </c>
      <c r="K61" s="3">
        <f>B8</f>
        <v>13.000080000000001</v>
      </c>
      <c r="L61" s="2"/>
      <c r="M61" s="2" t="s">
        <v>48</v>
      </c>
      <c r="N61">
        <f>$B$11</f>
        <v>3.0886890422972984E-4</v>
      </c>
      <c r="O61" s="5">
        <f>N43</f>
        <v>-0.92307205240115431</v>
      </c>
      <c r="P61" s="5">
        <f t="shared" si="9"/>
        <v>-2.8510825335023229E-4</v>
      </c>
      <c r="S61" s="30" t="s">
        <v>3</v>
      </c>
      <c r="T61" s="3">
        <f>D8</f>
        <v>15.39986</v>
      </c>
      <c r="U61" s="2"/>
      <c r="V61" s="2" t="s">
        <v>48</v>
      </c>
      <c r="W61">
        <f>D36</f>
        <v>0</v>
      </c>
      <c r="X61" s="5">
        <f>W43</f>
        <v>-0.32995705794027602</v>
      </c>
      <c r="Y61" s="5">
        <f t="shared" si="11"/>
        <v>0</v>
      </c>
    </row>
    <row r="62" spans="1:25" ht="15.6">
      <c r="A62" s="24" t="s">
        <v>54</v>
      </c>
      <c r="B62" s="2">
        <v>0</v>
      </c>
      <c r="C62" s="3">
        <f>$B$13</f>
        <v>1.8E-3</v>
      </c>
      <c r="D62" s="4">
        <f>SQRT(3)</f>
        <v>1.7320508075688772</v>
      </c>
      <c r="E62">
        <f>$B$17</f>
        <v>1.0392304845413265E-3</v>
      </c>
      <c r="F62" s="5">
        <f>F43</f>
        <v>-0.10606745558020458</v>
      </c>
      <c r="G62" s="5">
        <f t="shared" si="8"/>
        <v>-1.1022853325668164E-4</v>
      </c>
      <c r="J62" s="28" t="s">
        <v>54</v>
      </c>
      <c r="K62" s="2">
        <v>0</v>
      </c>
      <c r="L62" s="3">
        <f>$B$13</f>
        <v>1.8E-3</v>
      </c>
      <c r="M62" s="4">
        <f>SQRT(3)</f>
        <v>1.7320508075688772</v>
      </c>
      <c r="N62">
        <f>$B$17</f>
        <v>1.0392304845413265E-3</v>
      </c>
      <c r="O62" s="5">
        <f>N43</f>
        <v>-0.92307205240115431</v>
      </c>
      <c r="P62" s="5">
        <f t="shared" si="9"/>
        <v>-9.5928461628340834E-4</v>
      </c>
      <c r="S62" s="30" t="s">
        <v>52</v>
      </c>
      <c r="T62" s="2">
        <v>0</v>
      </c>
      <c r="U62" s="3">
        <f>$B$13</f>
        <v>1.8E-3</v>
      </c>
      <c r="V62" s="4">
        <f>SQRT(3)</f>
        <v>1.7320508075688772</v>
      </c>
      <c r="W62">
        <f>$B$17</f>
        <v>1.0392304845413265E-3</v>
      </c>
      <c r="X62" s="5">
        <f>W43</f>
        <v>-0.32995705794027602</v>
      </c>
      <c r="Y62" s="5">
        <f t="shared" si="11"/>
        <v>-3.4290143320110357E-4</v>
      </c>
    </row>
    <row r="63" spans="1:25" ht="15.6">
      <c r="A63" s="24" t="s">
        <v>17</v>
      </c>
      <c r="B63" s="2">
        <v>0</v>
      </c>
      <c r="C63" s="3">
        <f>$B$14</f>
        <v>2</v>
      </c>
      <c r="D63" s="4">
        <f>SQRT(3)</f>
        <v>1.7320508075688772</v>
      </c>
      <c r="E63">
        <f>$B$19</f>
        <v>1.1547005383792517</v>
      </c>
      <c r="F63" s="1">
        <f xml:space="preserve"> $B$15 * F32</f>
        <v>-3.1364349178109114E-10</v>
      </c>
      <c r="G63" s="5">
        <f t="shared" si="8"/>
        <v>-3.6216430881877434E-10</v>
      </c>
      <c r="J63" s="28" t="s">
        <v>17</v>
      </c>
      <c r="K63" s="2">
        <v>0</v>
      </c>
      <c r="L63" s="3">
        <f>$B$14</f>
        <v>2</v>
      </c>
      <c r="M63" s="4">
        <f>SQRT(3)</f>
        <v>1.7320508075688772</v>
      </c>
      <c r="N63">
        <f>$B$19</f>
        <v>1.1547005383792517</v>
      </c>
      <c r="O63" s="1">
        <f xml:space="preserve"> $B$15 * N41</f>
        <v>1.494990446748222E-4</v>
      </c>
      <c r="P63" s="5">
        <f t="shared" si="9"/>
        <v>1.7262662737320099E-4</v>
      </c>
      <c r="S63" s="30" t="s">
        <v>17</v>
      </c>
      <c r="T63" s="2">
        <v>0</v>
      </c>
      <c r="U63" s="3">
        <f>$B$14</f>
        <v>2</v>
      </c>
      <c r="V63" s="4">
        <f>SQRT(3)</f>
        <v>1.7320508075688772</v>
      </c>
      <c r="W63">
        <f>$B$19</f>
        <v>1.1547005383792517</v>
      </c>
      <c r="X63" s="1">
        <f xml:space="preserve"> $B$15 * W41</f>
        <v>3.345917820008661E-4</v>
      </c>
      <c r="Y63" s="5">
        <f t="shared" si="11"/>
        <v>3.8635331081367328E-4</v>
      </c>
    </row>
    <row r="64" spans="1:25">
      <c r="A64" s="24" t="s">
        <v>55</v>
      </c>
      <c r="B64" s="33">
        <f>SQRT( ((B55+B56)-(B57+B58))^2 + ((B59+B60)-(B61+B62))^2 ) + H19*$B$15*$B$14</f>
        <v>22.329329234179873</v>
      </c>
      <c r="C64" s="8"/>
      <c r="D64" s="8"/>
      <c r="E64" s="8"/>
      <c r="F64" s="8"/>
      <c r="G64" s="9">
        <f>SQRT(SUMSQ(G55:G63))</f>
        <v>0.28219603596154974</v>
      </c>
      <c r="J64" s="28" t="s">
        <v>55</v>
      </c>
      <c r="K64" s="33">
        <f>SQRT( ((K55+K56)-(K57+K58))^2 + ((K59+K60)-(K61+K62))^2 ) + Q28*$B$15*$B$14</f>
        <v>12.999916924119168</v>
      </c>
      <c r="L64" s="8"/>
      <c r="M64" s="8"/>
      <c r="N64" s="8"/>
      <c r="O64" s="8"/>
      <c r="P64" s="9">
        <f>SQRT(SUMSQ(P55:P63))</f>
        <v>1.5236172872051879E-3</v>
      </c>
      <c r="S64" s="30" t="s">
        <v>55</v>
      </c>
      <c r="T64" s="33">
        <f>SQRT( ((T55+T56)-(T57+T58))^2 + ((T59+T60)-(T61+T62))^2 ) + Z28*$B$15*$B$14</f>
        <v>28.844549988183207</v>
      </c>
      <c r="U64" s="8"/>
      <c r="V64" s="8"/>
      <c r="W64" s="8"/>
      <c r="X64" s="8"/>
      <c r="Y64" s="9">
        <f>SQRT(SUMSQ(Y55:Y63))</f>
        <v>0.18684091796976082</v>
      </c>
    </row>
    <row r="65" spans="7:25">
      <c r="G65">
        <f>B16*G64</f>
        <v>0.56439207192309948</v>
      </c>
      <c r="P65">
        <f>B16*P64</f>
        <v>3.0472345744103758E-3</v>
      </c>
      <c r="Y65">
        <f>B16*Y64</f>
        <v>0.37368183593952164</v>
      </c>
    </row>
  </sheetData>
  <mergeCells count="53">
    <mergeCell ref="V23:V24"/>
    <mergeCell ref="Y23:Y24"/>
    <mergeCell ref="K23:K24"/>
    <mergeCell ref="L23:L24"/>
    <mergeCell ref="M23:M24"/>
    <mergeCell ref="P23:P24"/>
    <mergeCell ref="S23:S24"/>
    <mergeCell ref="T23:T24"/>
    <mergeCell ref="N23:N24"/>
    <mergeCell ref="O23:O24"/>
    <mergeCell ref="W23:W24"/>
    <mergeCell ref="X23:X24"/>
    <mergeCell ref="A7:J7"/>
    <mergeCell ref="A9:J9"/>
    <mergeCell ref="A23:A24"/>
    <mergeCell ref="B23:B24"/>
    <mergeCell ref="C23:C24"/>
    <mergeCell ref="D23:D24"/>
    <mergeCell ref="G23:G24"/>
    <mergeCell ref="A12:B12"/>
    <mergeCell ref="E23:E24"/>
    <mergeCell ref="F23:F24"/>
    <mergeCell ref="S22:Y22"/>
    <mergeCell ref="J22:P22"/>
    <mergeCell ref="A22:G22"/>
    <mergeCell ref="A21:Y21"/>
    <mergeCell ref="J52:J53"/>
    <mergeCell ref="K52:K53"/>
    <mergeCell ref="L52:L53"/>
    <mergeCell ref="M52:M53"/>
    <mergeCell ref="P52:P53"/>
    <mergeCell ref="J23:J24"/>
    <mergeCell ref="A52:A53"/>
    <mergeCell ref="B52:B53"/>
    <mergeCell ref="C52:C53"/>
    <mergeCell ref="D52:D53"/>
    <mergeCell ref="G52:G53"/>
    <mergeCell ref="U23:U24"/>
    <mergeCell ref="A50:Y50"/>
    <mergeCell ref="A51:G51"/>
    <mergeCell ref="J51:P51"/>
    <mergeCell ref="S51:Y51"/>
    <mergeCell ref="S52:S53"/>
    <mergeCell ref="T52:T53"/>
    <mergeCell ref="U52:U53"/>
    <mergeCell ref="V52:V53"/>
    <mergeCell ref="W52:W53"/>
    <mergeCell ref="X52:X53"/>
    <mergeCell ref="Y52:Y53"/>
    <mergeCell ref="N52:N53"/>
    <mergeCell ref="O52:O53"/>
    <mergeCell ref="E52:E53"/>
    <mergeCell ref="F52:F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7236-205b-4a5e-840a-022c7fa7f401" xsi:nil="true"/>
    <ReferenceId xmlns="80821202-0399-4cf0-9e3f-24157e412172" xsi:nil="true"/>
    <lcf76f155ced4ddcb4097134ff3c332f xmlns="80821202-0399-4cf0-9e3f-24157e4121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31D9FD45D33A4187A75374B2E07D70" ma:contentTypeVersion="11" ma:contentTypeDescription="Utwórz nowy dokument." ma:contentTypeScope="" ma:versionID="e2dd7c3049f589c526f3cd53ec90e479">
  <xsd:schema xmlns:xsd="http://www.w3.org/2001/XMLSchema" xmlns:xs="http://www.w3.org/2001/XMLSchema" xmlns:p="http://schemas.microsoft.com/office/2006/metadata/properties" xmlns:ns2="80821202-0399-4cf0-9e3f-24157e412172" xmlns:ns3="7a607236-205b-4a5e-840a-022c7fa7f401" targetNamespace="http://schemas.microsoft.com/office/2006/metadata/properties" ma:root="true" ma:fieldsID="548a9fac0287aa2963f50afa18d85aef" ns2:_="" ns3:_="">
    <xsd:import namespace="80821202-0399-4cf0-9e3f-24157e412172"/>
    <xsd:import namespace="7a607236-205b-4a5e-840a-022c7fa7f4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21202-0399-4cf0-9e3f-24157e41217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7236-205b-4a5e-840a-022c7fa7f4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1fb8d-a18d-45d6-9d87-6d8ceeaf046b}" ma:internalName="TaxCatchAll" ma:showField="CatchAllData" ma:web="7a607236-205b-4a5e-840a-022c7fa7f4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001490-4C52-4D07-8606-6B784B51C174}"/>
</file>

<file path=customXml/itemProps2.xml><?xml version="1.0" encoding="utf-8"?>
<ds:datastoreItem xmlns:ds="http://schemas.openxmlformats.org/officeDocument/2006/customXml" ds:itemID="{15D9EC40-EE8B-40ED-B2AF-849A21C5BDED}"/>
</file>

<file path=customXml/itemProps3.xml><?xml version="1.0" encoding="utf-8"?>
<ds:datastoreItem xmlns:ds="http://schemas.openxmlformats.org/officeDocument/2006/customXml" ds:itemID="{F4A32CEF-5CF8-4349-9B16-6B3F1FAF0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Głowacka Julia (STUD)</dc:creator>
  <cp:keywords/>
  <dc:description/>
  <cp:lastModifiedBy>Ostaszewska-Liżewska Anna</cp:lastModifiedBy>
  <cp:revision/>
  <dcterms:created xsi:type="dcterms:W3CDTF">2025-08-30T20:29:01Z</dcterms:created>
  <dcterms:modified xsi:type="dcterms:W3CDTF">2025-09-11T17:05:37Z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0x010100A031D9FD45D33A4187A75374B2E07D70</vt:lpwstr>
  </property>
  <property fmtid="{D5CDD505-2E9C-101B-9397-08002B2CF9AE}" pid="3" name="MediaServiceImageTags">
    <vt:lpwstr/>
  </property>
</Properties>
</file>
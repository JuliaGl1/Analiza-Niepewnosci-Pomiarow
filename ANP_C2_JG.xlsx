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MGR\ANP_CW\Gotowe\2\"/>
    </mc:Choice>
  </mc:AlternateContent>
  <xr:revisionPtr revIDLastSave="0" documentId="13_ncr:1_{B546B718-659A-4F6A-B239-1DEB8A7528A5}" xr6:coauthVersionLast="47" xr6:coauthVersionMax="47" xr10:uidLastSave="{00000000-0000-0000-0000-000000000000}"/>
  <bookViews>
    <workbookView xWindow="28680" yWindow="-120" windowWidth="29040" windowHeight="15720" xr2:uid="{F38B7945-0C82-48D4-8E03-46B0E254FB7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3" i="1" l="1"/>
  <c r="L60" i="1"/>
  <c r="I60" i="1"/>
  <c r="I63" i="1" s="1"/>
  <c r="I47" i="1"/>
  <c r="I50" i="1" s="1"/>
  <c r="E43" i="1"/>
  <c r="G43" i="1"/>
  <c r="F43" i="1"/>
  <c r="N13" i="1"/>
  <c r="N10" i="1"/>
  <c r="L10" i="1"/>
  <c r="E6" i="1"/>
  <c r="I13" i="1"/>
  <c r="I10" i="1"/>
  <c r="G6" i="1"/>
  <c r="F6" i="1"/>
  <c r="N60" i="1" l="1"/>
  <c r="L47" i="1"/>
  <c r="N47" i="1" s="1"/>
  <c r="N50" i="1" s="1"/>
</calcChain>
</file>

<file path=xl/sharedStrings.xml><?xml version="1.0" encoding="utf-8"?>
<sst xmlns="http://schemas.openxmlformats.org/spreadsheetml/2006/main" count="54" uniqueCount="19">
  <si>
    <t>Lp</t>
  </si>
  <si>
    <t>XII  23°C</t>
  </si>
  <si>
    <t>Średnia</t>
  </si>
  <si>
    <t>Odch. Stand.</t>
  </si>
  <si>
    <t xml:space="preserve">Wielkość </t>
  </si>
  <si>
    <t xml:space="preserve">Oszacowanie </t>
  </si>
  <si>
    <t>Wspólczynnik rozszutu</t>
  </si>
  <si>
    <t>Niepewność standardowa</t>
  </si>
  <si>
    <t>Szerokość        polówkowa</t>
  </si>
  <si>
    <t>Wsp. Wplywu</t>
  </si>
  <si>
    <t>Skladowe niep. zloz.</t>
  </si>
  <si>
    <r>
      <t>k</t>
    </r>
    <r>
      <rPr>
        <i/>
        <vertAlign val="subscript"/>
        <sz val="12"/>
        <color theme="1"/>
        <rFont val="Times New Roman"/>
        <family val="1"/>
        <charset val="238"/>
      </rPr>
      <t>H</t>
    </r>
  </si>
  <si>
    <r>
      <t>r</t>
    </r>
    <r>
      <rPr>
        <i/>
        <vertAlign val="subscript"/>
        <sz val="12"/>
        <color theme="1"/>
        <rFont val="Times New Roman"/>
        <family val="1"/>
        <charset val="238"/>
      </rPr>
      <t>k</t>
    </r>
  </si>
  <si>
    <r>
      <t>r</t>
    </r>
    <r>
      <rPr>
        <i/>
        <vertAlign val="subscript"/>
        <sz val="12"/>
        <color theme="1"/>
        <rFont val="Times New Roman"/>
        <family val="1"/>
        <charset val="238"/>
      </rPr>
      <t>c</t>
    </r>
  </si>
  <si>
    <r>
      <t>t</t>
    </r>
    <r>
      <rPr>
        <i/>
        <vertAlign val="subscript"/>
        <sz val="12"/>
        <color theme="1"/>
        <rFont val="Times New Roman"/>
        <family val="1"/>
        <charset val="238"/>
      </rPr>
      <t>s</t>
    </r>
  </si>
  <si>
    <r>
      <t>P</t>
    </r>
    <r>
      <rPr>
        <i/>
        <vertAlign val="subscript"/>
        <sz val="12"/>
        <color theme="1"/>
        <rFont val="Times New Roman"/>
        <family val="1"/>
        <charset val="238"/>
      </rPr>
      <t>ws</t>
    </r>
  </si>
  <si>
    <t>Δt</t>
  </si>
  <si>
    <t>h</t>
  </si>
  <si>
    <t>Niep. Stand.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</si>
</sst>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i/>
      <sz val="12"/>
      <color theme="1"/>
      <name val="Times New Roman"/>
      <family val="1"/>
      <charset val="238"/>
    </font>
    <font>
      <i/>
      <vertAlign val="subscript"/>
      <sz val="12"/>
      <color theme="1"/>
      <name val="Times New Roman"/>
      <family val="1"/>
      <charset val="238"/>
    </font>
    <font>
      <i/>
      <sz val="12"/>
      <color theme="1"/>
      <name val="Symbol"/>
      <family val="1"/>
      <charset val="2"/>
    </font>
    <font>
      <sz val="12"/>
      <color theme="1"/>
      <name val="Aptos Display"/>
      <family val="2"/>
      <scheme val="maj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6" fillId="5" borderId="1" xfId="0" applyFont="1" applyFill="1" applyBorder="1" applyAlignment="1">
      <alignment horizontal="right"/>
    </xf>
    <xf numFmtId="0" fontId="1" fillId="4" borderId="1" xfId="3" applyBorder="1" applyAlignment="1">
      <alignment horizontal="center" wrapText="1"/>
    </xf>
    <xf numFmtId="0" fontId="1" fillId="4" borderId="1" xfId="3" applyBorder="1" applyAlignment="1">
      <alignment horizontal="center" vertical="center" wrapText="1"/>
    </xf>
    <xf numFmtId="0" fontId="1" fillId="4" borderId="1" xfId="3" applyBorder="1" applyAlignment="1">
      <alignment horizontal="center" vertical="center"/>
    </xf>
    <xf numFmtId="0" fontId="1" fillId="3" borderId="1" xfId="2" applyBorder="1" applyAlignment="1">
      <alignment horizontal="center" vertical="center" wrapText="1"/>
    </xf>
    <xf numFmtId="0" fontId="1" fillId="3" borderId="1" xfId="2" applyBorder="1" applyAlignment="1">
      <alignment horizontal="center" wrapText="1"/>
    </xf>
    <xf numFmtId="0" fontId="1" fillId="3" borderId="1" xfId="2" applyBorder="1" applyAlignment="1">
      <alignment horizontal="center" vertical="center"/>
    </xf>
    <xf numFmtId="0" fontId="1" fillId="2" borderId="1" xfId="1" applyBorder="1" applyAlignment="1">
      <alignment horizontal="center" wrapText="1"/>
    </xf>
    <xf numFmtId="0" fontId="1" fillId="2" borderId="1" xfId="1" applyBorder="1" applyAlignment="1">
      <alignment horizontal="center" vertical="center"/>
    </xf>
    <xf numFmtId="0" fontId="1" fillId="2" borderId="1" xfId="1" applyBorder="1" applyAlignment="1">
      <alignment horizontal="center" vertical="center" wrapText="1"/>
    </xf>
  </cellXfs>
  <cellStyles count="4">
    <cellStyle name="20% — akcent 5" xfId="1" builtinId="46"/>
    <cellStyle name="40% — akcent 5" xfId="2" builtinId="47"/>
    <cellStyle name="60% — akcent 5" xfId="3" builtinId="4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AD79-ABDE-476F-80A5-4EEFCCEAEBF2}">
  <dimension ref="B4:N63"/>
  <sheetViews>
    <sheetView tabSelected="1" topLeftCell="A38" workbookViewId="0">
      <selection activeCell="O56" sqref="O56"/>
    </sheetView>
  </sheetViews>
  <sheetFormatPr defaultRowHeight="14.4" x14ac:dyDescent="0.3"/>
  <cols>
    <col min="6" max="7" width="12" bestFit="1" customWidth="1"/>
    <col min="9" max="9" width="12.5546875" customWidth="1"/>
    <col min="10" max="10" width="11.33203125" customWidth="1"/>
    <col min="11" max="11" width="13.5546875" customWidth="1"/>
    <col min="12" max="12" width="13.33203125" customWidth="1"/>
    <col min="13" max="13" width="9.33203125" customWidth="1"/>
    <col min="14" max="14" width="10.5546875" customWidth="1"/>
  </cols>
  <sheetData>
    <row r="4" spans="2:14" x14ac:dyDescent="0.3">
      <c r="B4" s="15" t="s">
        <v>0</v>
      </c>
      <c r="C4" s="15" t="s">
        <v>1</v>
      </c>
      <c r="E4" s="14" t="s">
        <v>18</v>
      </c>
      <c r="F4" s="15" t="s">
        <v>2</v>
      </c>
      <c r="G4" s="15" t="s">
        <v>3</v>
      </c>
      <c r="H4" s="16" t="s">
        <v>4</v>
      </c>
      <c r="I4" s="15" t="s">
        <v>5</v>
      </c>
      <c r="J4" s="16" t="s">
        <v>8</v>
      </c>
      <c r="K4" s="16" t="s">
        <v>6</v>
      </c>
      <c r="L4" s="16" t="s">
        <v>7</v>
      </c>
      <c r="M4" s="14" t="s">
        <v>9</v>
      </c>
      <c r="N4" s="14" t="s">
        <v>10</v>
      </c>
    </row>
    <row r="5" spans="2:14" x14ac:dyDescent="0.3">
      <c r="B5" s="15"/>
      <c r="C5" s="15"/>
      <c r="E5" s="14"/>
      <c r="F5" s="15"/>
      <c r="G5" s="15"/>
      <c r="H5" s="16"/>
      <c r="I5" s="15"/>
      <c r="J5" s="16"/>
      <c r="K5" s="16"/>
      <c r="L5" s="16"/>
      <c r="M5" s="14"/>
      <c r="N5" s="14"/>
    </row>
    <row r="6" spans="2:14" ht="15.6" x14ac:dyDescent="0.3">
      <c r="B6" s="1">
        <v>1</v>
      </c>
      <c r="C6" s="1">
        <v>92.8</v>
      </c>
      <c r="E6" s="1">
        <f>G6/SQRT(29)</f>
        <v>0.11733599968144721</v>
      </c>
      <c r="F6" s="1">
        <f xml:space="preserve"> AVERAGE(C6:C35)</f>
        <v>91.873333333333321</v>
      </c>
      <c r="G6" s="1">
        <f>_xlfn.STDEV.S(C6:C35)</f>
        <v>0.63187369609447486</v>
      </c>
      <c r="H6" s="2">
        <v>1</v>
      </c>
      <c r="I6" s="1">
        <v>2</v>
      </c>
      <c r="J6" s="1">
        <v>3</v>
      </c>
      <c r="K6" s="1">
        <v>4</v>
      </c>
      <c r="L6" s="1">
        <v>5</v>
      </c>
      <c r="M6" s="1">
        <v>6</v>
      </c>
      <c r="N6" s="1">
        <v>7</v>
      </c>
    </row>
    <row r="7" spans="2:14" ht="18" x14ac:dyDescent="0.3">
      <c r="B7" s="1">
        <v>2</v>
      </c>
      <c r="C7" s="1">
        <v>92.6</v>
      </c>
      <c r="H7" s="3" t="s">
        <v>11</v>
      </c>
      <c r="I7" s="4">
        <v>6.9899999999999997E-3</v>
      </c>
      <c r="J7" s="4">
        <v>5.0000000000000002E-5</v>
      </c>
      <c r="K7" s="4">
        <v>2</v>
      </c>
      <c r="L7" s="4">
        <v>2.5000000000000001E-5</v>
      </c>
      <c r="M7" s="4">
        <v>129.899</v>
      </c>
      <c r="N7" s="4">
        <v>3.248E-3</v>
      </c>
    </row>
    <row r="8" spans="2:14" ht="18" x14ac:dyDescent="0.3">
      <c r="B8" s="1">
        <v>3</v>
      </c>
      <c r="C8" s="1">
        <v>92.2</v>
      </c>
      <c r="H8" s="5" t="s">
        <v>12</v>
      </c>
      <c r="I8" s="4">
        <v>2.46</v>
      </c>
      <c r="J8" s="4">
        <v>3.0000000000000001E-3</v>
      </c>
      <c r="K8" s="4">
        <v>2</v>
      </c>
      <c r="L8" s="6">
        <v>1.5E-3</v>
      </c>
      <c r="M8" s="4">
        <v>0.62105999999999995</v>
      </c>
      <c r="N8" s="4">
        <v>9.3199999999999999E-4</v>
      </c>
    </row>
    <row r="9" spans="2:14" ht="18" x14ac:dyDescent="0.3">
      <c r="B9" s="1">
        <v>4</v>
      </c>
      <c r="C9" s="1">
        <v>93.2</v>
      </c>
      <c r="H9" s="5" t="s">
        <v>13</v>
      </c>
      <c r="I9" s="4">
        <v>0.998</v>
      </c>
      <c r="J9" s="4">
        <v>1E-3</v>
      </c>
      <c r="K9" s="4">
        <v>2</v>
      </c>
      <c r="L9" s="6">
        <v>5.0000000000000001E-4</v>
      </c>
      <c r="M9" s="4">
        <v>-0.62105999999999995</v>
      </c>
      <c r="N9" s="4">
        <v>-3.1100000000000002E-4</v>
      </c>
    </row>
    <row r="10" spans="2:14" ht="18" x14ac:dyDescent="0.3">
      <c r="B10" s="1">
        <v>5</v>
      </c>
      <c r="C10" s="1">
        <v>92.1</v>
      </c>
      <c r="H10" s="5" t="s">
        <v>14</v>
      </c>
      <c r="I10" s="4">
        <f>AVERAGE(C6:C35)</f>
        <v>91.873333333333321</v>
      </c>
      <c r="J10" s="4"/>
      <c r="K10" s="4"/>
      <c r="L10" s="4">
        <f>((SQRT(((0.16)^2)+((E6)^2)))/I10)*100</f>
        <v>0.21596369566313886</v>
      </c>
      <c r="M10" s="4">
        <v>1.0219000000000001E-2</v>
      </c>
      <c r="N10" s="4">
        <f>L10*M10</f>
        <v>2.2069330059816161E-3</v>
      </c>
    </row>
    <row r="11" spans="2:14" ht="18" x14ac:dyDescent="0.3">
      <c r="B11" s="1">
        <v>6</v>
      </c>
      <c r="C11" s="1">
        <v>92.2</v>
      </c>
      <c r="H11" s="3" t="s">
        <v>15</v>
      </c>
      <c r="I11" s="4">
        <v>0</v>
      </c>
      <c r="J11" s="4">
        <v>0.3</v>
      </c>
      <c r="K11" s="4">
        <v>3</v>
      </c>
      <c r="L11" s="4">
        <v>0.1</v>
      </c>
      <c r="M11" s="4">
        <v>1.0219000000000001E-2</v>
      </c>
      <c r="N11" s="4">
        <v>1.0219999999999999E-3</v>
      </c>
    </row>
    <row r="12" spans="2:14" ht="15.6" x14ac:dyDescent="0.3">
      <c r="B12" s="1">
        <v>7</v>
      </c>
      <c r="C12" s="1">
        <v>92.5</v>
      </c>
      <c r="H12" s="3" t="s">
        <v>16</v>
      </c>
      <c r="I12" s="4">
        <v>0</v>
      </c>
      <c r="J12" s="4">
        <v>0.2</v>
      </c>
      <c r="K12" s="4">
        <v>2</v>
      </c>
      <c r="L12" s="4">
        <v>0.1</v>
      </c>
      <c r="M12" s="4">
        <v>2.1049999999999999E-2</v>
      </c>
      <c r="N12" s="4">
        <v>2.1050000000000001E-3</v>
      </c>
    </row>
    <row r="13" spans="2:14" ht="15" x14ac:dyDescent="0.3">
      <c r="B13" s="1">
        <v>8</v>
      </c>
      <c r="C13" s="1">
        <v>92.9</v>
      </c>
      <c r="H13" s="5" t="s">
        <v>17</v>
      </c>
      <c r="I13" s="4">
        <f>I7*(I8-I9)*I10</f>
        <v>0.93888850519999989</v>
      </c>
      <c r="J13" s="7"/>
      <c r="K13" s="7"/>
      <c r="L13" s="7"/>
      <c r="M13" s="7"/>
      <c r="N13" s="4">
        <f>SQRT(N7^2+N8^2+N9^2+N10^2+N11^2+N12^2)</f>
        <v>4.675565344735442E-3</v>
      </c>
    </row>
    <row r="14" spans="2:14" x14ac:dyDescent="0.3">
      <c r="B14" s="1">
        <v>9</v>
      </c>
      <c r="C14" s="1">
        <v>92.4</v>
      </c>
    </row>
    <row r="15" spans="2:14" x14ac:dyDescent="0.3">
      <c r="B15" s="1">
        <v>10</v>
      </c>
      <c r="C15" s="1">
        <v>91.7</v>
      </c>
    </row>
    <row r="16" spans="2:14" x14ac:dyDescent="0.3">
      <c r="B16" s="1">
        <v>11</v>
      </c>
      <c r="C16" s="1">
        <v>91.9</v>
      </c>
    </row>
    <row r="17" spans="2:3" x14ac:dyDescent="0.3">
      <c r="B17" s="1">
        <v>12</v>
      </c>
      <c r="C17" s="1">
        <v>91</v>
      </c>
    </row>
    <row r="18" spans="2:3" x14ac:dyDescent="0.3">
      <c r="B18" s="1">
        <v>13</v>
      </c>
      <c r="C18" s="1">
        <v>91.7</v>
      </c>
    </row>
    <row r="19" spans="2:3" x14ac:dyDescent="0.3">
      <c r="B19" s="1">
        <v>14</v>
      </c>
      <c r="C19" s="1">
        <v>91.1</v>
      </c>
    </row>
    <row r="20" spans="2:3" x14ac:dyDescent="0.3">
      <c r="B20" s="1">
        <v>15</v>
      </c>
      <c r="C20" s="1">
        <v>91.9</v>
      </c>
    </row>
    <row r="21" spans="2:3" x14ac:dyDescent="0.3">
      <c r="B21" s="1">
        <v>16</v>
      </c>
      <c r="C21" s="1">
        <v>92.1</v>
      </c>
    </row>
    <row r="22" spans="2:3" x14ac:dyDescent="0.3">
      <c r="B22" s="1">
        <v>17</v>
      </c>
      <c r="C22" s="1">
        <v>91.8</v>
      </c>
    </row>
    <row r="23" spans="2:3" x14ac:dyDescent="0.3">
      <c r="B23" s="1">
        <v>18</v>
      </c>
      <c r="C23" s="1">
        <v>92.4</v>
      </c>
    </row>
    <row r="24" spans="2:3" x14ac:dyDescent="0.3">
      <c r="B24" s="1">
        <v>19</v>
      </c>
      <c r="C24" s="1">
        <v>91</v>
      </c>
    </row>
    <row r="25" spans="2:3" x14ac:dyDescent="0.3">
      <c r="B25" s="1">
        <v>20</v>
      </c>
      <c r="C25" s="1">
        <v>91.8</v>
      </c>
    </row>
    <row r="26" spans="2:3" x14ac:dyDescent="0.3">
      <c r="B26" s="1">
        <v>21</v>
      </c>
      <c r="C26" s="1">
        <v>92.2</v>
      </c>
    </row>
    <row r="27" spans="2:3" x14ac:dyDescent="0.3">
      <c r="B27" s="1">
        <v>22</v>
      </c>
      <c r="C27" s="1">
        <v>91.2</v>
      </c>
    </row>
    <row r="28" spans="2:3" x14ac:dyDescent="0.3">
      <c r="B28" s="1">
        <v>23</v>
      </c>
      <c r="C28" s="1">
        <v>91.5</v>
      </c>
    </row>
    <row r="29" spans="2:3" x14ac:dyDescent="0.3">
      <c r="B29" s="1">
        <v>24</v>
      </c>
      <c r="C29" s="1">
        <v>90.8</v>
      </c>
    </row>
    <row r="30" spans="2:3" x14ac:dyDescent="0.3">
      <c r="B30" s="1">
        <v>25</v>
      </c>
      <c r="C30" s="1">
        <v>91.1</v>
      </c>
    </row>
    <row r="31" spans="2:3" x14ac:dyDescent="0.3">
      <c r="B31" s="1">
        <v>26</v>
      </c>
      <c r="C31" s="1">
        <v>91.2</v>
      </c>
    </row>
    <row r="32" spans="2:3" x14ac:dyDescent="0.3">
      <c r="B32" s="1">
        <v>27</v>
      </c>
      <c r="C32" s="1">
        <v>92.3</v>
      </c>
    </row>
    <row r="33" spans="2:14" x14ac:dyDescent="0.3">
      <c r="B33" s="1">
        <v>28</v>
      </c>
      <c r="C33" s="1">
        <v>92.1</v>
      </c>
    </row>
    <row r="34" spans="2:14" x14ac:dyDescent="0.3">
      <c r="B34" s="1">
        <v>29</v>
      </c>
      <c r="C34" s="1">
        <v>91.2</v>
      </c>
    </row>
    <row r="35" spans="2:14" x14ac:dyDescent="0.3">
      <c r="B35" s="1">
        <v>30</v>
      </c>
      <c r="C35" s="1">
        <v>91.3</v>
      </c>
    </row>
    <row r="41" spans="2:14" ht="14.4" customHeight="1" x14ac:dyDescent="0.3">
      <c r="B41" s="13" t="s">
        <v>0</v>
      </c>
      <c r="C41" s="13" t="s">
        <v>1</v>
      </c>
      <c r="E41" s="12" t="s">
        <v>18</v>
      </c>
      <c r="F41" s="13" t="s">
        <v>2</v>
      </c>
      <c r="G41" s="13" t="s">
        <v>3</v>
      </c>
      <c r="H41" s="11" t="s">
        <v>4</v>
      </c>
      <c r="I41" s="13" t="s">
        <v>5</v>
      </c>
      <c r="J41" s="11" t="s">
        <v>8</v>
      </c>
      <c r="K41" s="11" t="s">
        <v>6</v>
      </c>
      <c r="L41" s="11" t="s">
        <v>7</v>
      </c>
      <c r="M41" s="12" t="s">
        <v>9</v>
      </c>
      <c r="N41" s="12" t="s">
        <v>10</v>
      </c>
    </row>
    <row r="42" spans="2:14" x14ac:dyDescent="0.3">
      <c r="B42" s="13"/>
      <c r="C42" s="13"/>
      <c r="E42" s="12"/>
      <c r="F42" s="13"/>
      <c r="G42" s="13"/>
      <c r="H42" s="11"/>
      <c r="I42" s="13"/>
      <c r="J42" s="11"/>
      <c r="K42" s="11"/>
      <c r="L42" s="11"/>
      <c r="M42" s="12"/>
      <c r="N42" s="12"/>
    </row>
    <row r="43" spans="2:14" ht="15.6" x14ac:dyDescent="0.3">
      <c r="B43" s="1">
        <v>1</v>
      </c>
      <c r="C43" s="1">
        <v>92.3</v>
      </c>
      <c r="E43" s="1">
        <f>G43/SQRT(3)</f>
        <v>0.26034165586355279</v>
      </c>
      <c r="F43" s="1">
        <f xml:space="preserve"> AVERAGE(C43:C45)</f>
        <v>91.866666666666674</v>
      </c>
      <c r="G43" s="1">
        <f>_xlfn.STDEV.S(C43:C45)</f>
        <v>0.45092497528228537</v>
      </c>
      <c r="H43" s="2">
        <v>1</v>
      </c>
      <c r="I43" s="1">
        <v>2</v>
      </c>
      <c r="J43" s="1">
        <v>3</v>
      </c>
      <c r="K43" s="1">
        <v>4</v>
      </c>
      <c r="L43" s="1">
        <v>5</v>
      </c>
      <c r="M43" s="1">
        <v>6</v>
      </c>
      <c r="N43" s="1">
        <v>7</v>
      </c>
    </row>
    <row r="44" spans="2:14" ht="18" x14ac:dyDescent="0.3">
      <c r="B44" s="1">
        <v>2</v>
      </c>
      <c r="C44" s="1">
        <v>91.4</v>
      </c>
      <c r="H44" s="3" t="s">
        <v>11</v>
      </c>
      <c r="I44" s="4">
        <v>6.9899999999999997E-3</v>
      </c>
      <c r="J44" s="4">
        <v>5.0000000000000002E-5</v>
      </c>
      <c r="K44" s="4">
        <v>2</v>
      </c>
      <c r="L44" s="4">
        <v>2.5000000000000001E-5</v>
      </c>
      <c r="M44" s="4">
        <v>129.899</v>
      </c>
      <c r="N44" s="4">
        <v>3.248E-3</v>
      </c>
    </row>
    <row r="45" spans="2:14" ht="18" x14ac:dyDescent="0.3">
      <c r="B45" s="1">
        <v>3</v>
      </c>
      <c r="C45" s="1">
        <v>91.9</v>
      </c>
      <c r="H45" s="5" t="s">
        <v>12</v>
      </c>
      <c r="I45" s="4">
        <v>2.46</v>
      </c>
      <c r="J45" s="4">
        <v>3.0000000000000001E-3</v>
      </c>
      <c r="K45" s="4">
        <v>2</v>
      </c>
      <c r="L45" s="6">
        <v>1.5E-3</v>
      </c>
      <c r="M45" s="4">
        <v>0.62105999999999995</v>
      </c>
      <c r="N45" s="4">
        <v>9.3199999999999999E-4</v>
      </c>
    </row>
    <row r="46" spans="2:14" ht="18" x14ac:dyDescent="0.3">
      <c r="H46" s="5" t="s">
        <v>13</v>
      </c>
      <c r="I46" s="4">
        <v>0.998</v>
      </c>
      <c r="J46" s="4">
        <v>1E-3</v>
      </c>
      <c r="K46" s="4">
        <v>2</v>
      </c>
      <c r="L46" s="6">
        <v>5.0000000000000001E-4</v>
      </c>
      <c r="M46" s="4">
        <v>-0.62105999999999995</v>
      </c>
      <c r="N46" s="4">
        <v>-3.1100000000000002E-4</v>
      </c>
    </row>
    <row r="47" spans="2:14" ht="18" x14ac:dyDescent="0.3">
      <c r="H47" s="5" t="s">
        <v>14</v>
      </c>
      <c r="I47" s="4">
        <f>AVERAGE(C43:C45)</f>
        <v>91.866666666666674</v>
      </c>
      <c r="J47" s="4"/>
      <c r="K47" s="4"/>
      <c r="L47" s="4">
        <f>((SQRT(((0.16)^2)+((E43)^2)))/I47)*100</f>
        <v>0.33263183269566804</v>
      </c>
      <c r="M47" s="4">
        <v>1.0219000000000001E-2</v>
      </c>
      <c r="N47" s="4">
        <f>L47*M47</f>
        <v>3.3991646983170319E-3</v>
      </c>
    </row>
    <row r="48" spans="2:14" ht="18" x14ac:dyDescent="0.3">
      <c r="H48" s="3" t="s">
        <v>15</v>
      </c>
      <c r="I48" s="4">
        <v>0</v>
      </c>
      <c r="J48" s="4">
        <v>0.3</v>
      </c>
      <c r="K48" s="4">
        <v>3</v>
      </c>
      <c r="L48" s="4">
        <v>0.1</v>
      </c>
      <c r="M48" s="4">
        <v>1.0219000000000001E-2</v>
      </c>
      <c r="N48" s="4">
        <v>1.0219999999999999E-3</v>
      </c>
    </row>
    <row r="49" spans="2:14" ht="15.6" x14ac:dyDescent="0.3">
      <c r="H49" s="3" t="s">
        <v>16</v>
      </c>
      <c r="I49" s="4">
        <v>0</v>
      </c>
      <c r="J49" s="4">
        <v>0.2</v>
      </c>
      <c r="K49" s="4">
        <v>2</v>
      </c>
      <c r="L49" s="4">
        <v>0.1</v>
      </c>
      <c r="M49" s="4">
        <v>2.1049999999999999E-2</v>
      </c>
      <c r="N49" s="4">
        <v>2.1050000000000001E-3</v>
      </c>
    </row>
    <row r="50" spans="2:14" ht="15" x14ac:dyDescent="0.3">
      <c r="H50" s="5" t="s">
        <v>17</v>
      </c>
      <c r="I50" s="4">
        <f>I44*(I45-I46)*I47</f>
        <v>0.93882037600000012</v>
      </c>
      <c r="J50" s="7"/>
      <c r="K50" s="7"/>
      <c r="L50" s="7"/>
      <c r="M50" s="7"/>
      <c r="N50" s="4">
        <f>SQRT(N44^2+N45^2+N46^2+N47^2+N48^2+N49^2)</f>
        <v>5.3427220259231823E-3</v>
      </c>
    </row>
    <row r="54" spans="2:14" x14ac:dyDescent="0.3">
      <c r="B54" s="10" t="s">
        <v>0</v>
      </c>
      <c r="C54" s="10" t="s">
        <v>1</v>
      </c>
      <c r="H54" s="9" t="s">
        <v>4</v>
      </c>
      <c r="I54" s="10" t="s">
        <v>5</v>
      </c>
      <c r="J54" s="9" t="s">
        <v>8</v>
      </c>
      <c r="K54" s="9" t="s">
        <v>6</v>
      </c>
      <c r="L54" s="9" t="s">
        <v>7</v>
      </c>
      <c r="M54" s="8" t="s">
        <v>9</v>
      </c>
      <c r="N54" s="8" t="s">
        <v>10</v>
      </c>
    </row>
    <row r="55" spans="2:14" x14ac:dyDescent="0.3">
      <c r="B55" s="10"/>
      <c r="C55" s="10"/>
      <c r="H55" s="9"/>
      <c r="I55" s="10"/>
      <c r="J55" s="9"/>
      <c r="K55" s="9"/>
      <c r="L55" s="9"/>
      <c r="M55" s="8"/>
      <c r="N55" s="8"/>
    </row>
    <row r="56" spans="2:14" ht="15.6" x14ac:dyDescent="0.3">
      <c r="B56" s="1">
        <v>1</v>
      </c>
      <c r="C56" s="1">
        <v>91.8</v>
      </c>
      <c r="H56" s="2">
        <v>1</v>
      </c>
      <c r="I56" s="1">
        <v>2</v>
      </c>
      <c r="J56" s="1">
        <v>3</v>
      </c>
      <c r="K56" s="1">
        <v>4</v>
      </c>
      <c r="L56" s="1">
        <v>5</v>
      </c>
      <c r="M56" s="1">
        <v>6</v>
      </c>
      <c r="N56" s="1">
        <v>7</v>
      </c>
    </row>
    <row r="57" spans="2:14" ht="18" x14ac:dyDescent="0.3">
      <c r="H57" s="3" t="s">
        <v>11</v>
      </c>
      <c r="I57" s="4">
        <v>6.9899999999999997E-3</v>
      </c>
      <c r="J57" s="4">
        <v>5.0000000000000002E-5</v>
      </c>
      <c r="K57" s="4">
        <v>2</v>
      </c>
      <c r="L57" s="4">
        <v>2.5000000000000001E-5</v>
      </c>
      <c r="M57" s="4">
        <v>129.899</v>
      </c>
      <c r="N57" s="4">
        <v>3.248E-3</v>
      </c>
    </row>
    <row r="58" spans="2:14" ht="18" x14ac:dyDescent="0.3">
      <c r="H58" s="5" t="s">
        <v>12</v>
      </c>
      <c r="I58" s="4">
        <v>2.46</v>
      </c>
      <c r="J58" s="4">
        <v>3.0000000000000001E-3</v>
      </c>
      <c r="K58" s="4">
        <v>2</v>
      </c>
      <c r="L58" s="6">
        <v>1.5E-3</v>
      </c>
      <c r="M58" s="4">
        <v>0.62105999999999995</v>
      </c>
      <c r="N58" s="4">
        <v>9.3199999999999999E-4</v>
      </c>
    </row>
    <row r="59" spans="2:14" ht="18" x14ac:dyDescent="0.3">
      <c r="H59" s="5" t="s">
        <v>13</v>
      </c>
      <c r="I59" s="4">
        <v>0.998</v>
      </c>
      <c r="J59" s="4">
        <v>1E-3</v>
      </c>
      <c r="K59" s="4">
        <v>2</v>
      </c>
      <c r="L59" s="6">
        <v>5.0000000000000001E-4</v>
      </c>
      <c r="M59" s="4">
        <v>-0.62105999999999995</v>
      </c>
      <c r="N59" s="4">
        <v>-3.1100000000000002E-4</v>
      </c>
    </row>
    <row r="60" spans="2:14" ht="18" x14ac:dyDescent="0.3">
      <c r="H60" s="5" t="s">
        <v>14</v>
      </c>
      <c r="I60" s="4">
        <f>AVERAGE(C56)</f>
        <v>91.8</v>
      </c>
      <c r="J60" s="4"/>
      <c r="K60" s="4"/>
      <c r="L60" s="4">
        <f>SQRT( (0.32)^2 + (0.3/SQRT(3))^2 )</f>
        <v>0.36386810797320507</v>
      </c>
      <c r="M60" s="4">
        <v>1.0219000000000001E-2</v>
      </c>
      <c r="N60" s="4">
        <f>L60*M60</f>
        <v>3.7183681953781829E-3</v>
      </c>
    </row>
    <row r="61" spans="2:14" ht="18" x14ac:dyDescent="0.3">
      <c r="H61" s="3" t="s">
        <v>15</v>
      </c>
      <c r="I61" s="4">
        <v>0</v>
      </c>
      <c r="J61" s="4">
        <v>0.3</v>
      </c>
      <c r="K61" s="4">
        <v>3</v>
      </c>
      <c r="L61" s="4">
        <v>0.1</v>
      </c>
      <c r="M61" s="4">
        <v>1.0219000000000001E-2</v>
      </c>
      <c r="N61" s="4">
        <v>1.0219999999999999E-3</v>
      </c>
    </row>
    <row r="62" spans="2:14" ht="15.6" x14ac:dyDescent="0.3">
      <c r="H62" s="3" t="s">
        <v>16</v>
      </c>
      <c r="I62" s="4">
        <v>0</v>
      </c>
      <c r="J62" s="4">
        <v>0.2</v>
      </c>
      <c r="K62" s="4">
        <v>2</v>
      </c>
      <c r="L62" s="4">
        <v>0.1</v>
      </c>
      <c r="M62" s="4">
        <v>2.1049999999999999E-2</v>
      </c>
      <c r="N62" s="4">
        <v>2.1050000000000001E-3</v>
      </c>
    </row>
    <row r="63" spans="2:14" ht="15" x14ac:dyDescent="0.3">
      <c r="H63" s="5" t="s">
        <v>17</v>
      </c>
      <c r="I63" s="4">
        <f>I57*(I58-I59)*I60</f>
        <v>0.93813908400000001</v>
      </c>
      <c r="J63" s="7"/>
      <c r="K63" s="7"/>
      <c r="L63" s="7"/>
      <c r="M63" s="7"/>
      <c r="N63" s="4">
        <f>SQRT(N57^2+N58^2+N59^2+N60^2+N61^2+N62^2)</f>
        <v>5.5512719296031609E-3</v>
      </c>
    </row>
  </sheetData>
  <mergeCells count="33">
    <mergeCell ref="C4:C5"/>
    <mergeCell ref="B4:B5"/>
    <mergeCell ref="B41:B42"/>
    <mergeCell ref="C41:C42"/>
    <mergeCell ref="B54:B55"/>
    <mergeCell ref="C54:C55"/>
    <mergeCell ref="M4:M5"/>
    <mergeCell ref="N4:N5"/>
    <mergeCell ref="F4:F5"/>
    <mergeCell ref="G4:G5"/>
    <mergeCell ref="E4:E5"/>
    <mergeCell ref="H4:H5"/>
    <mergeCell ref="I4:I5"/>
    <mergeCell ref="J4:J5"/>
    <mergeCell ref="K4:K5"/>
    <mergeCell ref="L4:L5"/>
    <mergeCell ref="E41:E42"/>
    <mergeCell ref="F41:F42"/>
    <mergeCell ref="G41:G42"/>
    <mergeCell ref="H41:H42"/>
    <mergeCell ref="I41:I42"/>
    <mergeCell ref="J41:J42"/>
    <mergeCell ref="K41:K42"/>
    <mergeCell ref="L41:L42"/>
    <mergeCell ref="M41:M42"/>
    <mergeCell ref="N41:N42"/>
    <mergeCell ref="M54:M55"/>
    <mergeCell ref="N54:N55"/>
    <mergeCell ref="H54:H55"/>
    <mergeCell ref="I54:I55"/>
    <mergeCell ref="J54:J55"/>
    <mergeCell ref="K54:K55"/>
    <mergeCell ref="L54:L5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031D9FD45D33A4187A75374B2E07D70" ma:contentTypeVersion="11" ma:contentTypeDescription="Utwórz nowy dokument." ma:contentTypeScope="" ma:versionID="e2dd7c3049f589c526f3cd53ec90e479">
  <xsd:schema xmlns:xsd="http://www.w3.org/2001/XMLSchema" xmlns:xs="http://www.w3.org/2001/XMLSchema" xmlns:p="http://schemas.microsoft.com/office/2006/metadata/properties" xmlns:ns2="80821202-0399-4cf0-9e3f-24157e412172" xmlns:ns3="7a607236-205b-4a5e-840a-022c7fa7f401" targetNamespace="http://schemas.microsoft.com/office/2006/metadata/properties" ma:root="true" ma:fieldsID="548a9fac0287aa2963f50afa18d85aef" ns2:_="" ns3:_="">
    <xsd:import namespace="80821202-0399-4cf0-9e3f-24157e412172"/>
    <xsd:import namespace="7a607236-205b-4a5e-840a-022c7fa7f40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821202-0399-4cf0-9e3f-24157e41217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e1a26482-f116-441c-86cb-e37980d8bf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07236-205b-4a5e-840a-022c7fa7f4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01fb8d-a18d-45d6-9d87-6d8ceeaf046b}" ma:internalName="TaxCatchAll" ma:showField="CatchAllData" ma:web="7a607236-205b-4a5e-840a-022c7fa7f4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607236-205b-4a5e-840a-022c7fa7f401" xsi:nil="true"/>
    <ReferenceId xmlns="80821202-0399-4cf0-9e3f-24157e412172" xsi:nil="true"/>
    <lcf76f155ced4ddcb4097134ff3c332f xmlns="80821202-0399-4cf0-9e3f-24157e4121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45284A-E279-44C0-AF87-D1CE60541F51}"/>
</file>

<file path=customXml/itemProps2.xml><?xml version="1.0" encoding="utf-8"?>
<ds:datastoreItem xmlns:ds="http://schemas.openxmlformats.org/officeDocument/2006/customXml" ds:itemID="{6DCA2083-FC2C-4D47-A876-5355D3FD70FF}"/>
</file>

<file path=customXml/itemProps3.xml><?xml version="1.0" encoding="utf-8"?>
<ds:datastoreItem xmlns:ds="http://schemas.openxmlformats.org/officeDocument/2006/customXml" ds:itemID="{7F251D29-3DC6-4A90-8BF0-07BBA85044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Głowacka Julia (STUD)</dc:creator>
  <cp:lastModifiedBy>Głowacka Julia (STUD)</cp:lastModifiedBy>
  <dcterms:created xsi:type="dcterms:W3CDTF">2025-08-19T20:29:04Z</dcterms:created>
  <dcterms:modified xsi:type="dcterms:W3CDTF">2025-08-21T21:23:08Z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0x010100A031D9FD45D33A4187A75374B2E07D70</vt:lpwstr>
  </property>
</Properties>
</file>
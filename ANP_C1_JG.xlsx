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Administrator\Desktop\MGR\ANP_CW\Gotowe\1\"/>
    </mc:Choice>
  </mc:AlternateContent>
  <xr:revisionPtr revIDLastSave="0" documentId="13_ncr:1_{99FD78E9-8967-4A77-91E8-99243652006C}" xr6:coauthVersionLast="47" xr6:coauthVersionMax="47" xr10:uidLastSave="{00000000-0000-0000-0000-000000000000}"/>
  <bookViews>
    <workbookView xWindow="28680" yWindow="-120" windowWidth="29040" windowHeight="15720" xr2:uid="{4C34BBB1-5218-4149-B857-C9E5DF5AB0ED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" i="1" l="1"/>
  <c r="N19" i="1"/>
  <c r="M19" i="1"/>
  <c r="K7" i="1"/>
  <c r="O7" i="1" s="1"/>
  <c r="L19" i="1"/>
  <c r="P7" i="1"/>
  <c r="N7" i="1"/>
  <c r="M7" i="1"/>
  <c r="L7" i="1"/>
  <c r="J7" i="1" a="1"/>
  <c r="J7" i="1" s="1"/>
  <c r="I7" i="1" a="1"/>
  <c r="I7" i="1" s="1"/>
  <c r="H7" i="1" a="1"/>
  <c r="H7" i="1" s="1"/>
  <c r="Q7" i="1" l="1"/>
  <c r="R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<sst xmlns="http://schemas.openxmlformats.org/spreadsheetml/2006/main" count="34" uniqueCount="32">
  <si>
    <t>Nr pom.</t>
  </si>
  <si>
    <t>Mikrometr nr inw. 010/M</t>
  </si>
  <si>
    <t>s1</t>
  </si>
  <si>
    <t>s2</t>
  </si>
  <si>
    <t>s3</t>
  </si>
  <si>
    <t>u(W)</t>
  </si>
  <si>
    <t>u(Pw)</t>
  </si>
  <si>
    <t>u(Prw)</t>
  </si>
  <si>
    <t xml:space="preserve"> u(delta_t)</t>
  </si>
  <si>
    <t>u(W ̅ )</t>
  </si>
  <si>
    <t>u(Pt)</t>
  </si>
  <si>
    <t xml:space="preserve">u(D) </t>
  </si>
  <si>
    <t>U(D)</t>
  </si>
  <si>
    <t>Pkt. 1.</t>
  </si>
  <si>
    <t>Pkt. 2.</t>
  </si>
  <si>
    <t>Pkt. 3.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</si>
  <si>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</si>
  <si>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</si>
  <si>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</si>
  <si>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</si>
  <si>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</si>
  <si>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</si>
  <si>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</si>
  <si>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</si>
  <si>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</si>
  <si>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</si>
  <si>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W1</t>
  </si>
  <si>
    <t>W2</t>
  </si>
  <si>
    <t>W3</t>
  </si>
  <si>
    <t>W4</t>
  </si>
  <si>
    <t>Wsr</t>
  </si>
  <si>
    <t>u(D)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</si>
</sst>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3" borderId="1" xfId="0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97512-62DA-45F6-9014-73F660D027EB}">
  <dimension ref="C5:R20"/>
  <sheetViews>
    <sheetView tabSelected="1" workbookViewId="0">
      <selection activeCell="L11" sqref="L11"/>
    </sheetView>
  </sheetViews>
  <sheetFormatPr defaultRowHeight="14.45"/>
  <cols>
    <col min="5" max="5" width="14.7109375" bestFit="1" customWidth="1"/>
    <col min="14" max="14" width="12" bestFit="1" customWidth="1"/>
  </cols>
  <sheetData>
    <row r="5" spans="3:18">
      <c r="C5" s="3" t="s">
        <v>0</v>
      </c>
      <c r="D5" s="3" t="s">
        <v>1</v>
      </c>
      <c r="E5" s="3"/>
      <c r="F5" s="3"/>
      <c r="H5" s="4" t="s">
        <v>2</v>
      </c>
      <c r="I5" s="4" t="s">
        <v>3</v>
      </c>
      <c r="J5" s="4" t="s">
        <v>4</v>
      </c>
      <c r="K5" s="4" t="s">
        <v>5</v>
      </c>
      <c r="L5" s="4" t="s">
        <v>6</v>
      </c>
      <c r="M5" s="4" t="s">
        <v>7</v>
      </c>
      <c r="N5" s="4" t="s">
        <v>8</v>
      </c>
      <c r="O5" s="4" t="s">
        <v>9</v>
      </c>
      <c r="P5" s="4" t="s">
        <v>10</v>
      </c>
      <c r="Q5" s="4" t="s">
        <v>11</v>
      </c>
      <c r="R5" s="4" t="s">
        <v>12</v>
      </c>
    </row>
    <row r="6" spans="3:18">
      <c r="C6" s="3"/>
      <c r="D6" s="3" t="s">
        <v>13</v>
      </c>
      <c r="E6" s="3" t="s">
        <v>14</v>
      </c>
      <c r="F6" s="3" t="s">
        <v>15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3:18">
      <c r="C7" s="2" t="s">
        <v>16</v>
      </c>
      <c r="D7" s="1">
        <v>76.274000000000001</v>
      </c>
      <c r="E7" s="1">
        <v>87.944999999999993</v>
      </c>
      <c r="F7" s="1">
        <v>98.263000000000005</v>
      </c>
      <c r="H7" s="1" cm="1">
        <f t="array" ref="H7">SQRT(SUM((D7:D16-AVERAGE(D7:D16))^2)/(COUNT(D7:D16)-1))</f>
        <v>7.8881063774677881E-4</v>
      </c>
      <c r="I7" s="1" cm="1">
        <f t="array" ref="I7">SQRT(SUM((E7:E16-AVERAGE(E7:E16))^2)/(COUNT(E7:E16)-1))</f>
        <v>9.1893658347397635E-4</v>
      </c>
      <c r="J7" s="1" cm="1">
        <f t="array" ref="J7">SQRT(SUM((F7:F16-AVERAGE(F7:F16))^2)/(COUNT(F7:F16)-1))</f>
        <v>1.0593499054704766E-3</v>
      </c>
      <c r="K7" s="1">
        <f>SQRT(((H7)^2+(I7)^2+(J7)^2)/3)</f>
        <v>9.2895799849250667E-4</v>
      </c>
      <c r="L7" s="1">
        <f>0.003/SQRT(3)</f>
        <v>1.7320508075688774E-3</v>
      </c>
      <c r="M7" s="1">
        <f>0.01/(2*SQRT(3))</f>
        <v>2.886751345948129E-3</v>
      </c>
      <c r="N7" s="1">
        <f>4/SQRT(3)</f>
        <v>2.3094010767585034</v>
      </c>
      <c r="O7" s="1">
        <f>K7/2</f>
        <v>4.6447899924625334E-4</v>
      </c>
      <c r="P7" s="1">
        <f>2.31*0.00213</f>
        <v>4.9202999999999998E-3</v>
      </c>
      <c r="Q7" s="1">
        <f>SQRT((1*K7)^2 + (1*L7)^2 + (1*M7)^2 + (0.00213*N7)^2)</f>
        <v>6.0326690855952428E-3</v>
      </c>
      <c r="R7" s="1">
        <f>2*Q7</f>
        <v>1.2065338171190486E-2</v>
      </c>
    </row>
    <row r="8" spans="3:18">
      <c r="C8" s="2" t="s">
        <v>17</v>
      </c>
      <c r="D8" s="1">
        <v>76.274000000000001</v>
      </c>
      <c r="E8" s="1">
        <v>87.945999999999998</v>
      </c>
      <c r="F8" s="1">
        <v>98.265000000000001</v>
      </c>
    </row>
    <row r="9" spans="3:18">
      <c r="C9" s="2" t="s">
        <v>18</v>
      </c>
      <c r="D9" s="1">
        <v>76.274000000000001</v>
      </c>
      <c r="E9" s="1">
        <v>87.945999999999998</v>
      </c>
      <c r="F9" s="1">
        <v>98.266000000000005</v>
      </c>
    </row>
    <row r="10" spans="3:18">
      <c r="C10" s="2" t="s">
        <v>19</v>
      </c>
      <c r="D10" s="1">
        <v>76.274000000000001</v>
      </c>
      <c r="E10" s="1">
        <v>87.945999999999998</v>
      </c>
      <c r="F10" s="1">
        <v>98.266999999999996</v>
      </c>
    </row>
    <row r="11" spans="3:18">
      <c r="C11" s="2" t="s">
        <v>20</v>
      </c>
      <c r="D11" s="1">
        <v>76.272999999999996</v>
      </c>
      <c r="E11" s="1">
        <v>87.944999999999993</v>
      </c>
      <c r="F11" s="1">
        <v>98.266000000000005</v>
      </c>
    </row>
    <row r="12" spans="3:18">
      <c r="C12" s="2" t="s">
        <v>21</v>
      </c>
      <c r="D12" s="1">
        <v>76.274000000000001</v>
      </c>
      <c r="E12" s="1">
        <v>87.947000000000003</v>
      </c>
      <c r="F12" s="1">
        <v>98.265000000000001</v>
      </c>
    </row>
    <row r="13" spans="3:18">
      <c r="C13" s="2" t="s">
        <v>22</v>
      </c>
      <c r="D13" s="1">
        <v>76.274000000000001</v>
      </c>
      <c r="E13" s="1">
        <v>87.947000000000003</v>
      </c>
      <c r="F13" s="1">
        <v>98.265000000000001</v>
      </c>
    </row>
    <row r="14" spans="3:18">
      <c r="C14" s="2" t="s">
        <v>23</v>
      </c>
      <c r="D14" s="1">
        <v>76.275000000000006</v>
      </c>
      <c r="E14" s="1">
        <v>87.947999999999993</v>
      </c>
      <c r="F14" s="1">
        <v>98.265000000000001</v>
      </c>
    </row>
    <row r="15" spans="3:18">
      <c r="C15" s="2" t="s">
        <v>24</v>
      </c>
      <c r="D15" s="1">
        <v>76.274000000000001</v>
      </c>
      <c r="E15" s="1">
        <v>87.945999999999998</v>
      </c>
      <c r="F15" s="1">
        <v>98.265000000000001</v>
      </c>
    </row>
    <row r="16" spans="3:18">
      <c r="C16" s="2" t="s">
        <v>25</v>
      </c>
      <c r="D16" s="1">
        <v>76.272000000000006</v>
      </c>
      <c r="E16" s="1">
        <v>87.945999999999998</v>
      </c>
      <c r="F16" s="1">
        <v>98.266000000000005</v>
      </c>
    </row>
    <row r="17" spans="8:15">
      <c r="H17" s="4" t="s">
        <v>26</v>
      </c>
      <c r="I17" s="4" t="s">
        <v>27</v>
      </c>
      <c r="J17" s="4" t="s">
        <v>28</v>
      </c>
      <c r="K17" s="4" t="s">
        <v>29</v>
      </c>
      <c r="L17" s="4" t="s">
        <v>30</v>
      </c>
      <c r="M17" s="4" t="s">
        <v>5</v>
      </c>
      <c r="N17" s="4" t="s">
        <v>31</v>
      </c>
      <c r="O17" s="4" t="s">
        <v>12</v>
      </c>
    </row>
    <row r="18" spans="8:15" ht="14.45" customHeight="1">
      <c r="H18" s="4"/>
      <c r="I18" s="4"/>
      <c r="J18" s="4"/>
      <c r="K18" s="4"/>
      <c r="L18" s="4"/>
      <c r="M18" s="4"/>
      <c r="N18" s="4"/>
      <c r="O18" s="4"/>
    </row>
    <row r="19" spans="8:15" ht="14.45" customHeight="1">
      <c r="H19" s="1">
        <v>99.994</v>
      </c>
      <c r="I19" s="1">
        <v>99.992999999999995</v>
      </c>
      <c r="J19" s="1">
        <v>99.995000000000005</v>
      </c>
      <c r="K19" s="1">
        <v>99.994</v>
      </c>
      <c r="L19" s="1">
        <f>(SUM(H19:K19)/4)</f>
        <v>99.994</v>
      </c>
      <c r="M19" s="1">
        <f>(SQRT(((H7)^2+(I7)^2+(J7)^2)/3))/SQRT(4)</f>
        <v>4.6447899924625334E-4</v>
      </c>
      <c r="N19" s="1">
        <f>SQRT((1*M19)^2 + (1*L7)^2 + (1*M7)^2 + (0.00213*N7)^2)</f>
        <v>5.9787853343362431E-3</v>
      </c>
      <c r="O19" s="1">
        <f>2*N19</f>
        <v>1.1957570668672486E-2</v>
      </c>
    </row>
    <row r="20" spans="8:15" ht="15" customHeight="1"/>
  </sheetData>
  <mergeCells count="19">
    <mergeCell ref="N17:N18"/>
    <mergeCell ref="O17:O18"/>
    <mergeCell ref="H17:H18"/>
    <mergeCell ref="I17:I18"/>
    <mergeCell ref="M5:M6"/>
    <mergeCell ref="J17:J18"/>
    <mergeCell ref="K17:K18"/>
    <mergeCell ref="L17:L18"/>
    <mergeCell ref="M17:M18"/>
    <mergeCell ref="H5:H6"/>
    <mergeCell ref="I5:I6"/>
    <mergeCell ref="J5:J6"/>
    <mergeCell ref="K5:K6"/>
    <mergeCell ref="L5:L6"/>
    <mergeCell ref="N5:N6"/>
    <mergeCell ref="O5:O6"/>
    <mergeCell ref="P5:P6"/>
    <mergeCell ref="Q5:Q6"/>
    <mergeCell ref="R5:R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031D9FD45D33A4187A75374B2E07D70" ma:contentTypeVersion="11" ma:contentTypeDescription="Utwórz nowy dokument." ma:contentTypeScope="" ma:versionID="e2dd7c3049f589c526f3cd53ec90e479">
  <xsd:schema xmlns:xsd="http://www.w3.org/2001/XMLSchema" xmlns:xs="http://www.w3.org/2001/XMLSchema" xmlns:p="http://schemas.microsoft.com/office/2006/metadata/properties" xmlns:ns2="80821202-0399-4cf0-9e3f-24157e412172" xmlns:ns3="7a607236-205b-4a5e-840a-022c7fa7f401" targetNamespace="http://schemas.microsoft.com/office/2006/metadata/properties" ma:root="true" ma:fieldsID="548a9fac0287aa2963f50afa18d85aef" ns2:_="" ns3:_="">
    <xsd:import namespace="80821202-0399-4cf0-9e3f-24157e412172"/>
    <xsd:import namespace="7a607236-205b-4a5e-840a-022c7fa7f401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821202-0399-4cf0-9e3f-24157e41217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e1a26482-f116-441c-86cb-e37980d8bf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07236-205b-4a5e-840a-022c7fa7f40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01fb8d-a18d-45d6-9d87-6d8ceeaf046b}" ma:internalName="TaxCatchAll" ma:showField="CatchAllData" ma:web="7a607236-205b-4a5e-840a-022c7fa7f4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607236-205b-4a5e-840a-022c7fa7f401" xsi:nil="true"/>
    <ReferenceId xmlns="80821202-0399-4cf0-9e3f-24157e412172" xsi:nil="true"/>
    <lcf76f155ced4ddcb4097134ff3c332f xmlns="80821202-0399-4cf0-9e3f-24157e41217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3FA2F6-9889-47D0-BEBE-510CC98CC78C}"/>
</file>

<file path=customXml/itemProps2.xml><?xml version="1.0" encoding="utf-8"?>
<ds:datastoreItem xmlns:ds="http://schemas.openxmlformats.org/officeDocument/2006/customXml" ds:itemID="{3E96E27D-9796-4C53-84A4-BF6CA11BE050}"/>
</file>

<file path=customXml/itemProps3.xml><?xml version="1.0" encoding="utf-8"?>
<ds:datastoreItem xmlns:ds="http://schemas.openxmlformats.org/officeDocument/2006/customXml" ds:itemID="{B9CCEB8B-7618-4BEC-A2CB-2BABA87200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Głowacka Julia (STUD)</dc:creator>
  <cp:keywords/>
  <dc:description/>
  <cp:lastModifiedBy>Ostaszewska-Liżewska Anna</cp:lastModifiedBy>
  <cp:revision/>
  <dcterms:created xsi:type="dcterms:W3CDTF">2025-08-19T16:24:50Z</dcterms:created>
  <dcterms:modified xsi:type="dcterms:W3CDTF">2025-09-11T15:00:35Z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0x010100A031D9FD45D33A4187A75374B2E07D70</vt:lpwstr>
  </property>
  <property fmtid="{D5CDD505-2E9C-101B-9397-08002B2CF9AE}" pid="3" name="MediaServiceImageTags">
    <vt:lpwstr/>
  </property>
</Properties>
</file>
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Administrator\Desktop\MGR\ANP_CW\Gotowe\3\"/>
    </mc:Choice>
  </mc:AlternateContent>
  <xr:revisionPtr revIDLastSave="0" documentId="13_ncr:1_{0CE4B707-5F8C-4A82-B998-0656985A655E}" xr6:coauthVersionLast="47" xr6:coauthVersionMax="47" xr10:uidLastSave="{00000000-0000-0000-0000-000000000000}"/>
  <bookViews>
    <workbookView xWindow="28695" yWindow="0" windowWidth="14610" windowHeight="15585" xr2:uid="{10D3E2C2-2641-4B42-BD0C-9AD5B413D401}"/>
  </bookViews>
  <sheets>
    <sheet name="Arkusz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7" i="2"/>
  <c r="B36" i="2"/>
  <c r="C34" i="2"/>
  <c r="B34" i="2" a="1"/>
  <c r="B34" i="2" s="1"/>
  <c r="C33" i="2"/>
  <c r="B33" i="2" a="1"/>
  <c r="B33" i="2" s="1"/>
  <c r="C32" i="2"/>
  <c r="B32" i="2" a="1"/>
  <c r="B32" i="2" s="1"/>
  <c r="D28" i="2" a="1"/>
  <c r="D28" i="2" s="1"/>
  <c r="C28" i="2" a="1"/>
  <c r="C28" i="2" s="1"/>
  <c r="B28" i="2" a="1"/>
  <c r="B28" i="2" s="1"/>
  <c r="D25" i="2"/>
  <c r="C25" i="2"/>
  <c r="B25" i="2"/>
  <c r="D24" i="2"/>
  <c r="C24" i="2"/>
  <c r="B24" i="2"/>
  <c r="D23" i="2"/>
  <c r="C23" i="2"/>
  <c r="B23" i="2"/>
  <c r="B14" i="2"/>
  <c r="D21" i="2"/>
  <c r="C21" i="2"/>
  <c r="B21" i="2"/>
  <c r="D20" i="2"/>
  <c r="C20" i="2"/>
  <c r="B20" i="2"/>
  <c r="D19" i="2"/>
  <c r="C19" i="2"/>
  <c r="B19" i="2"/>
  <c r="C14" i="2"/>
  <c r="A14" i="2"/>
  <c r="F2" i="2"/>
  <c r="E3" i="2"/>
  <c r="F3" i="2" s="1"/>
  <c r="E4" i="2"/>
  <c r="F4" i="2" s="1"/>
  <c r="E5" i="2"/>
  <c r="G5" i="2" s="1"/>
  <c r="E2" i="2"/>
  <c r="D3" i="2"/>
  <c r="D4" i="2"/>
  <c r="D5" i="2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2" i="2"/>
  <c r="F7" i="2" l="1"/>
  <c r="G7" i="2"/>
  <c r="G10" i="2"/>
  <c r="F10" i="2"/>
  <c r="F8" i="2"/>
  <c r="G8" i="2"/>
  <c r="E14" i="2"/>
  <c r="G11" i="2"/>
  <c r="F11" i="2"/>
  <c r="G9" i="2"/>
  <c r="F9" i="2"/>
  <c r="F6" i="2"/>
  <c r="F16" i="2" s="1"/>
  <c r="G6" i="2"/>
  <c r="F14" i="2"/>
  <c r="G4" i="2"/>
  <c r="G3" i="2"/>
  <c r="F5" i="2"/>
  <c r="G2" i="2"/>
  <c r="E16" i="2"/>
  <c r="G16" i="2" l="1"/>
  <c r="G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<sst xmlns="http://schemas.openxmlformats.org/spreadsheetml/2006/main" count="26" uniqueCount="23">
  <si>
    <t>V [V]</t>
  </si>
  <si>
    <t>I [mA]</t>
  </si>
  <si>
    <t>phi [rad]</t>
  </si>
  <si>
    <t>I [A]</t>
  </si>
  <si>
    <t>Z [Ω]</t>
  </si>
  <si>
    <t>R [Ω]</t>
  </si>
  <si>
    <t>X [Ω]</t>
  </si>
  <si>
    <t xml:space="preserve">Średnie wejść </t>
  </si>
  <si>
    <t>Średnie wyników</t>
  </si>
  <si>
    <t>s(Z)</t>
  </si>
  <si>
    <t xml:space="preserve">s( R ) </t>
  </si>
  <si>
    <t>s(X)</t>
  </si>
  <si>
    <t xml:space="preserve">Macierz kowariancji </t>
  </si>
  <si>
    <t>Jacobiany</t>
  </si>
  <si>
    <t xml:space="preserve">Wektory pomocnicze </t>
  </si>
  <si>
    <t>tempZ</t>
  </si>
  <si>
    <t>tempR</t>
  </si>
  <si>
    <t>tempX</t>
  </si>
  <si>
    <t xml:space="preserve">Wariancje i niepewności </t>
  </si>
  <si>
    <t>dla Z</t>
  </si>
  <si>
    <t>dla R</t>
  </si>
  <si>
    <t>dla X</t>
  </si>
  <si>
    <t>Niepewności rozszerzone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</si>
</sst>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3" borderId="1" xfId="2" applyBorder="1"/>
    <xf numFmtId="0" fontId="2" fillId="4" borderId="1" xfId="3" applyFont="1" applyBorder="1"/>
    <xf numFmtId="0" fontId="2" fillId="5" borderId="1" xfId="4" applyFont="1" applyBorder="1" applyAlignment="1">
      <alignment horizontal="center"/>
    </xf>
    <xf numFmtId="0" fontId="2" fillId="5" borderId="3" xfId="4" applyFont="1" applyBorder="1" applyAlignment="1">
      <alignment horizontal="center"/>
    </xf>
    <xf numFmtId="0" fontId="2" fillId="5" borderId="4" xfId="4" applyFont="1" applyBorder="1" applyAlignment="1">
      <alignment horizontal="center"/>
    </xf>
    <xf numFmtId="0" fontId="2" fillId="5" borderId="2" xfId="4" applyFont="1" applyBorder="1" applyAlignment="1">
      <alignment horizontal="center"/>
    </xf>
    <xf numFmtId="0" fontId="2" fillId="5" borderId="1" xfId="4" applyFont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2" fillId="2" borderId="4" xfId="1" applyFont="1" applyBorder="1" applyAlignment="1">
      <alignment horizontal="center"/>
    </xf>
    <xf numFmtId="0" fontId="2" fillId="2" borderId="1" xfId="1" applyFont="1" applyBorder="1" applyAlignment="1">
      <alignment horizontal="center"/>
    </xf>
  </cellXfs>
  <cellStyles count="5">
    <cellStyle name="20% — akcent 5" xfId="1" builtinId="46"/>
    <cellStyle name="20% — akcent 6" xfId="3" builtinId="50"/>
    <cellStyle name="40% — akcent 5" xfId="2" builtinId="47"/>
    <cellStyle name="40% — akcent 6" xfId="4" builtinId="5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36B7-B75D-46A7-8B22-CAADEFFE7233}">
  <dimension ref="A1:G38"/>
  <sheetViews>
    <sheetView tabSelected="1" workbookViewId="0">
      <selection activeCell="G22" sqref="G22"/>
    </sheetView>
  </sheetViews>
  <sheetFormatPr defaultRowHeight="14.45"/>
  <cols>
    <col min="2" max="2" width="13.28515625" customWidth="1"/>
    <col min="3" max="4" width="12.71093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5.0069999999999997</v>
      </c>
      <c r="B2" s="1">
        <v>19.663</v>
      </c>
      <c r="C2" s="1">
        <v>1.0456000000000001</v>
      </c>
      <c r="D2" s="1">
        <f>B2/1000</f>
        <v>1.9663E-2</v>
      </c>
      <c r="E2" s="1">
        <f>A2/D2</f>
        <v>254.64069572293138</v>
      </c>
      <c r="F2" s="1">
        <f>E2*COS(C2)</f>
        <v>127.67248571507091</v>
      </c>
      <c r="G2" s="1">
        <f>E2*SIN(C2)</f>
        <v>220.32162923688074</v>
      </c>
    </row>
    <row r="3" spans="1:7">
      <c r="A3" s="1">
        <v>4.9939999999999998</v>
      </c>
      <c r="B3" s="1">
        <v>19.638999999999999</v>
      </c>
      <c r="C3" s="1">
        <v>1.0438000000000001</v>
      </c>
      <c r="D3" s="1">
        <f t="shared" ref="D3:D11" si="0">B3/1000</f>
        <v>1.9639E-2</v>
      </c>
      <c r="E3" s="1">
        <f t="shared" ref="E3:E11" si="1">A3/D3</f>
        <v>254.28993329599265</v>
      </c>
      <c r="F3" s="1">
        <f t="shared" ref="F3:F11" si="2">E3*COS(C3)</f>
        <v>127.89244533361743</v>
      </c>
      <c r="G3" s="1">
        <f t="shared" ref="G3:G11" si="3">E3*SIN(C3)</f>
        <v>219.78829041208741</v>
      </c>
    </row>
    <row r="4" spans="1:7">
      <c r="A4" s="1">
        <v>5.0049999999999999</v>
      </c>
      <c r="B4" s="1">
        <v>19.64</v>
      </c>
      <c r="C4" s="1">
        <v>1.0468</v>
      </c>
      <c r="D4" s="1">
        <f t="shared" si="0"/>
        <v>1.9640000000000001E-2</v>
      </c>
      <c r="E4" s="1">
        <f t="shared" si="1"/>
        <v>254.83706720977594</v>
      </c>
      <c r="F4" s="1">
        <f t="shared" si="2"/>
        <v>127.5062612435505</v>
      </c>
      <c r="G4" s="1">
        <f t="shared" si="3"/>
        <v>220.64470120030373</v>
      </c>
    </row>
    <row r="5" spans="1:7">
      <c r="A5" s="1">
        <v>4.99</v>
      </c>
      <c r="B5" s="1">
        <v>19.684999999999999</v>
      </c>
      <c r="C5" s="1">
        <v>1.0427999999999999</v>
      </c>
      <c r="D5" s="1">
        <f t="shared" si="0"/>
        <v>1.9684999999999998E-2</v>
      </c>
      <c r="E5" s="1">
        <f t="shared" si="1"/>
        <v>253.49250698501402</v>
      </c>
      <c r="F5" s="1">
        <f t="shared" si="2"/>
        <v>127.71042343949566</v>
      </c>
      <c r="G5" s="1">
        <f t="shared" si="3"/>
        <v>218.97145668431787</v>
      </c>
    </row>
    <row r="6" spans="1:7">
      <c r="A6" s="1">
        <v>4.9989999999999997</v>
      </c>
      <c r="B6" s="1">
        <v>19.678000000000001</v>
      </c>
      <c r="C6" s="1">
        <v>1.0432999999999999</v>
      </c>
      <c r="D6" s="1">
        <f t="shared" si="0"/>
        <v>1.9678000000000001E-2</v>
      </c>
      <c r="E6" s="1">
        <f t="shared" si="1"/>
        <v>254.04004471999184</v>
      </c>
      <c r="F6" s="1">
        <f t="shared" si="2"/>
        <v>127.87653668234252</v>
      </c>
      <c r="G6" s="1">
        <f t="shared" si="3"/>
        <v>219.50839548287206</v>
      </c>
    </row>
    <row r="7" spans="1:7">
      <c r="A7" s="1">
        <v>4.9950000000000001</v>
      </c>
      <c r="B7" s="1">
        <v>19.638000000000002</v>
      </c>
      <c r="C7" s="1">
        <v>1.0435000000000001</v>
      </c>
      <c r="D7" s="1">
        <f t="shared" si="0"/>
        <v>1.9638000000000003E-2</v>
      </c>
      <c r="E7" s="1">
        <f t="shared" si="1"/>
        <v>254.35380384967917</v>
      </c>
      <c r="F7" s="1">
        <f t="shared" si="2"/>
        <v>127.99051564724137</v>
      </c>
      <c r="G7" s="1">
        <f t="shared" si="3"/>
        <v>219.80510785046451</v>
      </c>
    </row>
    <row r="8" spans="1:7">
      <c r="A8" s="1">
        <v>5.008</v>
      </c>
      <c r="B8" s="1">
        <v>19.664000000000001</v>
      </c>
      <c r="C8" s="1">
        <v>1.0455000000000001</v>
      </c>
      <c r="D8" s="1">
        <f t="shared" si="0"/>
        <v>1.9664000000000001E-2</v>
      </c>
      <c r="E8" s="1">
        <f t="shared" si="1"/>
        <v>254.67860048820177</v>
      </c>
      <c r="F8" s="1">
        <f t="shared" si="2"/>
        <v>127.71352531954329</v>
      </c>
      <c r="G8" s="1">
        <f t="shared" si="3"/>
        <v>220.34165515644895</v>
      </c>
    </row>
    <row r="9" spans="1:7">
      <c r="A9" s="1">
        <v>5.0060000000000002</v>
      </c>
      <c r="B9" s="1">
        <v>19.640999999999998</v>
      </c>
      <c r="C9" s="1">
        <v>1.0468999999999999</v>
      </c>
      <c r="D9" s="1">
        <f t="shared" si="0"/>
        <v>1.9640999999999999E-2</v>
      </c>
      <c r="E9" s="1">
        <f t="shared" si="1"/>
        <v>254.87500636423809</v>
      </c>
      <c r="F9" s="1">
        <f t="shared" si="2"/>
        <v>127.50317548875005</v>
      </c>
      <c r="G9" s="1">
        <f t="shared" si="3"/>
        <v>220.69030134887083</v>
      </c>
    </row>
    <row r="10" spans="1:7">
      <c r="A10" s="1">
        <v>4.992</v>
      </c>
      <c r="B10" s="1">
        <v>19.687000000000001</v>
      </c>
      <c r="C10" s="1">
        <v>1.0427</v>
      </c>
      <c r="D10" s="1">
        <f t="shared" si="0"/>
        <v>1.9687E-2</v>
      </c>
      <c r="E10" s="1">
        <f t="shared" si="1"/>
        <v>253.56834459287856</v>
      </c>
      <c r="F10" s="1">
        <f t="shared" si="2"/>
        <v>127.77053375299899</v>
      </c>
      <c r="G10" s="1">
        <f t="shared" si="3"/>
        <v>219.02419063666588</v>
      </c>
    </row>
    <row r="11" spans="1:7">
      <c r="A11" s="1">
        <v>5.0010000000000003</v>
      </c>
      <c r="B11" s="1">
        <v>19.678999999999998</v>
      </c>
      <c r="C11" s="1">
        <v>1.0434000000000001</v>
      </c>
      <c r="D11" s="1">
        <f t="shared" si="0"/>
        <v>1.9678999999999999E-2</v>
      </c>
      <c r="E11" s="1">
        <f t="shared" si="1"/>
        <v>254.12876670562531</v>
      </c>
      <c r="F11" s="1">
        <f t="shared" si="2"/>
        <v>127.8992376624102</v>
      </c>
      <c r="G11" s="1">
        <f t="shared" si="3"/>
        <v>219.59784851563651</v>
      </c>
    </row>
    <row r="12" spans="1:7">
      <c r="A12" s="1"/>
      <c r="B12" s="1"/>
      <c r="C12" s="1"/>
      <c r="D12" s="1"/>
      <c r="E12" s="1"/>
      <c r="F12" s="1"/>
      <c r="G12" s="1"/>
    </row>
    <row r="13" spans="1:7">
      <c r="A13" s="8" t="s">
        <v>7</v>
      </c>
      <c r="B13" s="8"/>
      <c r="C13" s="8"/>
      <c r="D13" s="4"/>
      <c r="E13" s="5" t="s">
        <v>8</v>
      </c>
      <c r="F13" s="6"/>
      <c r="G13" s="7"/>
    </row>
    <row r="14" spans="1:7">
      <c r="A14" s="1">
        <f>AVERAGE(A2:A11)</f>
        <v>4.9996999999999998</v>
      </c>
      <c r="B14" s="1">
        <f>AVERAGE(D2:D11)</f>
        <v>1.9661400000000002E-2</v>
      </c>
      <c r="C14" s="1">
        <f>AVERAGE(C2:C11)</f>
        <v>1.04443</v>
      </c>
      <c r="D14" s="1"/>
      <c r="E14" s="1">
        <f>AVERAGE(E2:E11)</f>
        <v>254.29047699343286</v>
      </c>
      <c r="F14" s="1">
        <f>AVERAGE(F2:F11)</f>
        <v>127.75351402850211</v>
      </c>
      <c r="G14" s="1">
        <f>AVERAGE(G2:G11)</f>
        <v>219.86935765245485</v>
      </c>
    </row>
    <row r="15" spans="1:7">
      <c r="A15" s="1"/>
      <c r="B15" s="1"/>
      <c r="C15" s="1"/>
      <c r="D15" s="1"/>
      <c r="E15" s="1" t="s">
        <v>9</v>
      </c>
      <c r="F15" s="1" t="s">
        <v>10</v>
      </c>
      <c r="G15" s="1" t="s">
        <v>11</v>
      </c>
    </row>
    <row r="16" spans="1:7">
      <c r="A16" s="1"/>
      <c r="B16" s="1"/>
      <c r="C16" s="1"/>
      <c r="D16" s="1"/>
      <c r="E16" s="1">
        <f>STDEVA(E2:E11)</f>
        <v>0.49044615980168593</v>
      </c>
      <c r="F16" s="1">
        <f>STDEVA(F2:F11)</f>
        <v>0.16531320580424366</v>
      </c>
      <c r="G16" s="1">
        <f>STDEVA(G2:G11)</f>
        <v>0.61805833553831102</v>
      </c>
    </row>
    <row r="18" spans="1:4">
      <c r="A18" s="12" t="s">
        <v>12</v>
      </c>
      <c r="B18" s="12"/>
      <c r="C18" s="12"/>
      <c r="D18" s="12"/>
    </row>
    <row r="19" spans="1:4">
      <c r="A19" s="1"/>
      <c r="B19" s="1">
        <f>_xlfn.COVARIANCE.S(A2:A11, A2:A11)</f>
        <v>4.4455555555555112E-5</v>
      </c>
      <c r="C19" s="1">
        <f>_xlfn.COVARIANCE.S(A2:A11, D2:D11)</f>
        <v>-4.2866666666664463E-8</v>
      </c>
      <c r="D19" s="1">
        <f>_xlfn.COVARIANCE.S(A2:A11, C2:C11)</f>
        <v>9.1211111111111883E-6</v>
      </c>
    </row>
    <row r="20" spans="1:4">
      <c r="A20" s="1"/>
      <c r="B20" s="1">
        <f>_xlfn.COVARIANCE.S(D2:D11, A2:A11)</f>
        <v>-4.2866666666664463E-8</v>
      </c>
      <c r="C20" s="1">
        <f>_xlfn.COVARIANCE.S(D2:D11, D2:D11)</f>
        <v>4.1448888888885831E-10</v>
      </c>
      <c r="D20" s="1">
        <f>_xlfn.COVARIANCE.S(D2:D11, C2:C11)</f>
        <v>-2.0024444444444481E-8</v>
      </c>
    </row>
    <row r="21" spans="1:4">
      <c r="A21" s="1"/>
      <c r="B21" s="1">
        <f>_xlfn.COVARIANCE.S(C2:C11, A2:A11)</f>
        <v>9.1211111111111883E-6</v>
      </c>
      <c r="C21" s="1">
        <f>_xlfn.COVARIANCE.S(C2:C11, D2:D11)</f>
        <v>-2.0024444444444481E-8</v>
      </c>
      <c r="D21" s="1">
        <f>_xlfn.COVARIANCE.S(C2:C11, C2:C11)</f>
        <v>2.6089999999999965E-6</v>
      </c>
    </row>
    <row r="22" spans="1:4">
      <c r="A22" s="9" t="s">
        <v>13</v>
      </c>
      <c r="B22" s="11"/>
      <c r="C22" s="11"/>
      <c r="D22" s="10"/>
    </row>
    <row r="23" spans="1:4">
      <c r="A23" s="1"/>
      <c r="B23" s="1">
        <f>1/$B$14</f>
        <v>50.861078051410374</v>
      </c>
      <c r="C23" s="1">
        <f>-$A$14/($B$14^2)</f>
        <v>-12933.470247980124</v>
      </c>
      <c r="D23" s="1">
        <f>0</f>
        <v>0</v>
      </c>
    </row>
    <row r="24" spans="1:4">
      <c r="A24" s="1"/>
      <c r="B24" s="1">
        <f>COS($C$14)/$B$14</f>
        <v>25.552343767444455</v>
      </c>
      <c r="C24" s="1">
        <f>-$A$14*COS($C$14)/($B$14^2)</f>
        <v>-6497.7088678370837</v>
      </c>
      <c r="D24" s="1">
        <f>-$A$14/$B$14*SIN($C$14)</f>
        <v>-219.86899078005021</v>
      </c>
    </row>
    <row r="25" spans="1:4">
      <c r="A25" s="1"/>
      <c r="B25" s="1">
        <f>SIN($C$14)/$B$14</f>
        <v>43.976436742214581</v>
      </c>
      <c r="C25" s="1">
        <f>-$A$14*SIN($C$14)/($B$14^2)</f>
        <v>-11182.773901148961</v>
      </c>
      <c r="D25" s="1">
        <f>$A$14/$B$14*COS($C$14)</f>
        <v>127.75405313409203</v>
      </c>
    </row>
    <row r="26" spans="1:4">
      <c r="A26" s="9" t="s">
        <v>14</v>
      </c>
      <c r="B26" s="11"/>
      <c r="C26" s="11"/>
      <c r="D26" s="10"/>
    </row>
    <row r="27" spans="1:4">
      <c r="A27" s="1"/>
      <c r="B27" s="2" t="s">
        <v>15</v>
      </c>
      <c r="C27" s="2" t="s">
        <v>16</v>
      </c>
      <c r="D27" s="2" t="s">
        <v>17</v>
      </c>
    </row>
    <row r="28" spans="1:4">
      <c r="A28" s="1"/>
      <c r="B28" s="1" cm="1">
        <f t="array" ref="B28:B30">MMULT($B$19:$D$21, TRANSPOSE($B$23:$D$23))</f>
        <v>2.8154722388932848E-3</v>
      </c>
      <c r="C28" s="1" cm="1">
        <f t="array" ref="C28:C30">MMULT($B$19:$D$21, TRANSPOSE($B$24:$D$24))</f>
        <v>-5.9097073672984782E-4</v>
      </c>
      <c r="D28" s="1" cm="1">
        <f t="array" ref="D28:D30">MMULT($B$19:$D$21, TRANSPOSE($B$25:$D$25))</f>
        <v>3.5996240814889589E-3</v>
      </c>
    </row>
    <row r="29" spans="1:4">
      <c r="A29" s="1"/>
      <c r="B29" s="1">
        <v>-7.5410245916994004E-6</v>
      </c>
      <c r="C29" s="1">
        <v>6.141824591470538E-7</v>
      </c>
      <c r="D29" s="1">
        <v>-9.0784627235349597E-6</v>
      </c>
    </row>
    <row r="30" spans="1:4">
      <c r="A30" s="1"/>
      <c r="B30" s="1">
        <v>7.2289510059236613E-4</v>
      </c>
      <c r="C30" s="1">
        <v>-2.1045942005280192E-4</v>
      </c>
      <c r="D30" s="1">
        <v>9.5835312514167838E-4</v>
      </c>
    </row>
    <row r="31" spans="1:4">
      <c r="A31" s="9" t="s">
        <v>18</v>
      </c>
      <c r="B31" s="11"/>
      <c r="C31" s="10"/>
    </row>
    <row r="32" spans="1:4">
      <c r="A32" s="2" t="s">
        <v>19</v>
      </c>
      <c r="B32" s="1" cm="1">
        <f t="array" ref="B32">MMULT($B$23:$D$23,_xlfn.ANCHORARRAY( B28))</f>
        <v>0.24072957048996113</v>
      </c>
      <c r="C32" s="1">
        <f>SQRT(B32)</f>
        <v>0.49064199829403221</v>
      </c>
    </row>
    <row r="33" spans="1:3">
      <c r="A33" s="2" t="s">
        <v>20</v>
      </c>
      <c r="B33" s="1" cm="1">
        <f t="array" ref="B33">MMULT($B$24:$D$24,_xlfn.ANCHORARRAY( C28))</f>
        <v>2.7182034054473433E-2</v>
      </c>
      <c r="C33" s="1">
        <f>SQRT(B33)</f>
        <v>0.16486974875480775</v>
      </c>
    </row>
    <row r="34" spans="1:3">
      <c r="A34" s="2" t="s">
        <v>21</v>
      </c>
      <c r="B34" s="1" cm="1">
        <f t="array" ref="B34">MMULT($B$25:$D$25, D28:D30)</f>
        <v>0.38225453279322508</v>
      </c>
      <c r="C34" s="1">
        <f>SQRT(B34)</f>
        <v>0.61826736351939604</v>
      </c>
    </row>
    <row r="35" spans="1:3">
      <c r="A35" s="9" t="s">
        <v>22</v>
      </c>
      <c r="B35" s="10"/>
    </row>
    <row r="36" spans="1:3">
      <c r="A36" s="2" t="s">
        <v>19</v>
      </c>
      <c r="B36" s="1">
        <f>2*C32</f>
        <v>0.98128399658806442</v>
      </c>
    </row>
    <row r="37" spans="1:3">
      <c r="A37" s="2" t="s">
        <v>20</v>
      </c>
      <c r="B37" s="1">
        <f>2*C33</f>
        <v>0.32973949750961551</v>
      </c>
    </row>
    <row r="38" spans="1:3">
      <c r="A38" s="2" t="s">
        <v>21</v>
      </c>
      <c r="B38" s="1">
        <f>2*C34</f>
        <v>1.2365347270387921</v>
      </c>
    </row>
  </sheetData>
  <mergeCells count="7">
    <mergeCell ref="E13:G13"/>
    <mergeCell ref="A13:C13"/>
    <mergeCell ref="A35:B35"/>
    <mergeCell ref="A31:C31"/>
    <mergeCell ref="A26:D26"/>
    <mergeCell ref="A22:D22"/>
    <mergeCell ref="A18:D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7236-205b-4a5e-840a-022c7fa7f401" xsi:nil="true"/>
    <ReferenceId xmlns="80821202-0399-4cf0-9e3f-24157e412172" xsi:nil="true"/>
    <lcf76f155ced4ddcb4097134ff3c332f xmlns="80821202-0399-4cf0-9e3f-24157e4121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31D9FD45D33A4187A75374B2E07D70" ma:contentTypeVersion="11" ma:contentTypeDescription="Utwórz nowy dokument." ma:contentTypeScope="" ma:versionID="e2dd7c3049f589c526f3cd53ec90e479">
  <xsd:schema xmlns:xsd="http://www.w3.org/2001/XMLSchema" xmlns:xs="http://www.w3.org/2001/XMLSchema" xmlns:p="http://schemas.microsoft.com/office/2006/metadata/properties" xmlns:ns2="80821202-0399-4cf0-9e3f-24157e412172" xmlns:ns3="7a607236-205b-4a5e-840a-022c7fa7f401" targetNamespace="http://schemas.microsoft.com/office/2006/metadata/properties" ma:root="true" ma:fieldsID="548a9fac0287aa2963f50afa18d85aef" ns2:_="" ns3:_="">
    <xsd:import namespace="80821202-0399-4cf0-9e3f-24157e412172"/>
    <xsd:import namespace="7a607236-205b-4a5e-840a-022c7fa7f4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1202-0399-4cf0-9e3f-24157e41217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7236-205b-4a5e-840a-022c7fa7f4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1fb8d-a18d-45d6-9d87-6d8ceeaf046b}" ma:internalName="TaxCatchAll" ma:showField="CatchAllData" ma:web="7a607236-205b-4a5e-840a-022c7fa7f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236B8E-C929-48A7-86A5-E429E5F1F61F}"/>
</file>

<file path=customXml/itemProps2.xml><?xml version="1.0" encoding="utf-8"?>
<ds:datastoreItem xmlns:ds="http://schemas.openxmlformats.org/officeDocument/2006/customXml" ds:itemID="{C3929679-08AD-4DEE-BA88-6CB61549803E}"/>
</file>

<file path=customXml/itemProps3.xml><?xml version="1.0" encoding="utf-8"?>
<ds:datastoreItem xmlns:ds="http://schemas.openxmlformats.org/officeDocument/2006/customXml" ds:itemID="{FA5903D2-A95B-4A13-B371-B46066E09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Głowacka Julia (STUD)</dc:creator>
  <cp:keywords/>
  <dc:description/>
  <cp:lastModifiedBy>Ostaszewska-Liżewska Anna</cp:lastModifiedBy>
  <cp:revision/>
  <dcterms:created xsi:type="dcterms:W3CDTF">2025-08-21T22:22:43Z</dcterms:created>
  <dcterms:modified xsi:type="dcterms:W3CDTF">2025-09-11T15:57:36Z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0x010100A031D9FD45D33A4187A75374B2E07D70</vt:lpwstr>
  </property>
  <property fmtid="{D5CDD505-2E9C-101B-9397-08002B2CF9AE}" pid="3" name="MediaServiceImageTags">
    <vt:lpwstr/>
  </property>
</Properties>
</file>
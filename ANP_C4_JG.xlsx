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Administrator\Desktop\MGR\ANP_CW\Gotowe\4\"/>
    </mc:Choice>
  </mc:AlternateContent>
  <xr:revisionPtr revIDLastSave="0" documentId="13_ncr:1_{DC5113F3-45A5-40A9-803A-E76E99884106}" xr6:coauthVersionLast="47" xr6:coauthVersionMax="47" xr10:uidLastSave="{00000000-0000-0000-0000-000000000000}"/>
  <bookViews>
    <workbookView xWindow="-108" yWindow="-108" windowWidth="23256" windowHeight="12456" xr2:uid="{237FB6A1-DDD7-40A2-9CB8-07E0FBAB39AF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32" i="1"/>
  <c r="G24" i="1"/>
  <c r="G23" i="1"/>
  <c r="T32" i="1"/>
  <c r="P29" i="1"/>
  <c r="T14" i="1"/>
  <c r="R23" i="1" l="1"/>
  <c r="E35" i="1"/>
  <c r="C35" i="1"/>
  <c r="T26" i="1" l="1"/>
  <c r="T24" i="1"/>
  <c r="T23" i="1"/>
  <c r="R26" i="1"/>
  <c r="R24" i="1"/>
  <c r="O31" i="1"/>
  <c r="T30" i="1"/>
  <c r="R29" i="1"/>
  <c r="T29" i="1" s="1"/>
  <c r="R28" i="1"/>
  <c r="T28" i="1" s="1"/>
  <c r="T27" i="1"/>
  <c r="T25" i="1"/>
  <c r="T31" i="1" s="1"/>
  <c r="I24" i="1"/>
  <c r="I25" i="1"/>
  <c r="I26" i="1"/>
  <c r="I27" i="1"/>
  <c r="I28" i="1"/>
  <c r="I29" i="1"/>
  <c r="I30" i="1"/>
  <c r="I23" i="1"/>
  <c r="I31" i="1" s="1"/>
  <c r="G29" i="1"/>
  <c r="G28" i="1"/>
  <c r="G25" i="1"/>
  <c r="G26" i="1"/>
  <c r="D31" i="1"/>
  <c r="T13" i="1"/>
  <c r="H12" i="1"/>
  <c r="H11" i="1"/>
  <c r="H10" i="1"/>
  <c r="H9" i="1"/>
  <c r="G12" i="1"/>
  <c r="G11" i="1"/>
  <c r="G10" i="1"/>
  <c r="G9" i="1"/>
  <c r="D13" i="1"/>
  <c r="I10" i="1"/>
  <c r="I9" i="1"/>
  <c r="R10" i="1"/>
  <c r="T11" i="1"/>
  <c r="S12" i="1"/>
  <c r="S11" i="1"/>
  <c r="S10" i="1"/>
  <c r="S9" i="1"/>
  <c r="R12" i="1"/>
  <c r="T12" i="1" s="1"/>
  <c r="R11" i="1"/>
  <c r="T10" i="1"/>
  <c r="R9" i="1"/>
  <c r="T9" i="1" s="1"/>
  <c r="I12" i="1" l="1"/>
  <c r="I11" i="1"/>
  <c r="I13" i="1" s="1"/>
</calcChain>
</file>

<file path=xl/sharedStrings.xml><?xml version="1.0" encoding="utf-8"?>
<sst xmlns="http://schemas.openxmlformats.org/spreadsheetml/2006/main" count="91" uniqueCount="37">
  <si>
    <t>WARIANT 1</t>
  </si>
  <si>
    <t>WARIANT 2</t>
  </si>
  <si>
    <t>Wielkość</t>
  </si>
  <si>
    <t>Oszaco-wanie</t>
  </si>
  <si>
    <t>Szerokość połówkowa</t>
  </si>
  <si>
    <t>Wsp. Rozrzutu</t>
  </si>
  <si>
    <t xml:space="preserve">Niepewn. stand. </t>
  </si>
  <si>
    <t>Wsp. Wplywu</t>
  </si>
  <si>
    <t>Składowe niepewn. złożonej</t>
  </si>
  <si>
    <t>ln [mm]</t>
  </si>
  <si>
    <t>t0 [st. C]</t>
  </si>
  <si>
    <r>
      <t>X</t>
    </r>
    <r>
      <rPr>
        <i/>
        <vertAlign val="subscript"/>
        <sz val="12"/>
        <color theme="1"/>
        <rFont val="Times New Roman"/>
        <family val="1"/>
        <charset val="238"/>
      </rPr>
      <t>i</t>
    </r>
  </si>
  <si>
    <r>
      <t>x</t>
    </r>
    <r>
      <rPr>
        <i/>
        <vertAlign val="subscript"/>
        <sz val="12"/>
        <color theme="1"/>
        <rFont val="Times New Roman"/>
        <family val="1"/>
        <charset val="238"/>
      </rPr>
      <t>i</t>
    </r>
  </si>
  <si>
    <r>
      <t>0,5</t>
    </r>
    <r>
      <rPr>
        <i/>
        <sz val="12"/>
        <color theme="1"/>
        <rFont val="Times New Roman"/>
        <family val="1"/>
        <charset val="238"/>
      </rPr>
      <t>R</t>
    </r>
    <r>
      <rPr>
        <i/>
        <vertAlign val="subscript"/>
        <sz val="12"/>
        <color theme="1"/>
        <rFont val="Times New Roman"/>
        <family val="1"/>
        <charset val="238"/>
      </rPr>
      <t>i</t>
    </r>
  </si>
  <si>
    <r>
      <t>k</t>
    </r>
    <r>
      <rPr>
        <i/>
        <vertAlign val="superscript"/>
        <sz val="12"/>
        <color theme="1"/>
        <rFont val="Times New Roman"/>
        <family val="1"/>
        <charset val="238"/>
      </rPr>
      <t>*</t>
    </r>
  </si>
  <si>
    <r>
      <t>u(X</t>
    </r>
    <r>
      <rPr>
        <i/>
        <vertAlign val="subscript"/>
        <sz val="12"/>
        <color theme="1"/>
        <rFont val="Times New Roman"/>
        <family val="1"/>
        <charset val="238"/>
      </rPr>
      <t>i</t>
    </r>
    <r>
      <rPr>
        <i/>
        <sz val="12"/>
        <color theme="1"/>
        <rFont val="Times New Roman"/>
        <family val="1"/>
        <charset val="238"/>
      </rPr>
      <t>)</t>
    </r>
  </si>
  <si>
    <r>
      <t>c</t>
    </r>
    <r>
      <rPr>
        <i/>
        <vertAlign val="subscript"/>
        <sz val="12"/>
        <color theme="1"/>
        <rFont val="Times New Roman"/>
        <family val="1"/>
        <charset val="238"/>
      </rPr>
      <t>i</t>
    </r>
  </si>
  <si>
    <r>
      <t>u</t>
    </r>
    <r>
      <rPr>
        <i/>
        <vertAlign val="subscript"/>
        <sz val="12"/>
        <color theme="1"/>
        <rFont val="Times New Roman"/>
        <family val="1"/>
        <charset val="238"/>
      </rPr>
      <t>i</t>
    </r>
    <r>
      <rPr>
        <i/>
        <sz val="12"/>
        <color theme="1"/>
        <rFont val="Times New Roman"/>
        <family val="1"/>
        <charset val="238"/>
      </rPr>
      <t>(Y)</t>
    </r>
  </si>
  <si>
    <r>
      <t>a</t>
    </r>
    <r>
      <rPr>
        <i/>
        <vertAlign val="subscript"/>
        <sz val="12"/>
        <color theme="1"/>
        <rFont val="Times New Roman"/>
        <family val="1"/>
        <charset val="238"/>
      </rPr>
      <t>D</t>
    </r>
  </si>
  <si>
    <r>
      <t>t</t>
    </r>
    <r>
      <rPr>
        <i/>
        <vertAlign val="subscript"/>
        <sz val="12"/>
        <color theme="1"/>
        <rFont val="Times New Roman"/>
        <family val="1"/>
        <charset val="238"/>
      </rPr>
      <t>D</t>
    </r>
  </si>
  <si>
    <r>
      <t>a</t>
    </r>
    <r>
      <rPr>
        <i/>
        <vertAlign val="subscript"/>
        <sz val="12"/>
        <color theme="1"/>
        <rFont val="Times New Roman"/>
        <family val="1"/>
        <charset val="238"/>
      </rPr>
      <t>l</t>
    </r>
  </si>
  <si>
    <r>
      <t>t</t>
    </r>
    <r>
      <rPr>
        <i/>
        <vertAlign val="subscript"/>
        <sz val="12"/>
        <color theme="1"/>
        <rFont val="Times New Roman"/>
        <family val="1"/>
        <charset val="238"/>
      </rPr>
      <t>l</t>
    </r>
  </si>
  <si>
    <r>
      <t>P</t>
    </r>
    <r>
      <rPr>
        <i/>
        <vertAlign val="subscript"/>
        <sz val="10"/>
        <color rgb="FF000000"/>
        <rFont val="Times New Roman"/>
        <family val="1"/>
        <charset val="238"/>
      </rPr>
      <t>t</t>
    </r>
  </si>
  <si>
    <t>Wsp. roz­rzutu</t>
  </si>
  <si>
    <t>Niepewn. Stand</t>
  </si>
  <si>
    <r>
      <t>W</t>
    </r>
    <r>
      <rPr>
        <i/>
        <vertAlign val="subscript"/>
        <sz val="12"/>
        <color theme="1"/>
        <rFont val="Times New Roman"/>
        <family val="1"/>
        <charset val="238"/>
      </rPr>
      <t>2</t>
    </r>
  </si>
  <si>
    <r>
      <t>P</t>
    </r>
    <r>
      <rPr>
        <i/>
        <vertAlign val="subscript"/>
        <sz val="12"/>
        <color theme="1"/>
        <rFont val="Times New Roman"/>
        <family val="1"/>
        <charset val="238"/>
      </rPr>
      <t>w2</t>
    </r>
  </si>
  <si>
    <r>
      <t>W</t>
    </r>
    <r>
      <rPr>
        <i/>
        <vertAlign val="subscript"/>
        <sz val="12"/>
        <color theme="1"/>
        <rFont val="Times New Roman"/>
        <family val="1"/>
        <charset val="238"/>
      </rPr>
      <t>1</t>
    </r>
  </si>
  <si>
    <r>
      <t>P</t>
    </r>
    <r>
      <rPr>
        <i/>
        <vertAlign val="subscript"/>
        <sz val="12"/>
        <color theme="1"/>
        <rFont val="Times New Roman"/>
        <family val="1"/>
        <charset val="238"/>
      </rPr>
      <t>w1</t>
    </r>
  </si>
  <si>
    <t>l</t>
  </si>
  <si>
    <r>
      <t>P</t>
    </r>
    <r>
      <rPr>
        <i/>
        <vertAlign val="subscript"/>
        <sz val="12"/>
        <color theme="1"/>
        <rFont val="Times New Roman"/>
        <family val="1"/>
        <charset val="238"/>
      </rPr>
      <t>l</t>
    </r>
  </si>
  <si>
    <r>
      <t>P</t>
    </r>
    <r>
      <rPr>
        <i/>
        <vertAlign val="subscript"/>
        <sz val="12"/>
        <color theme="1"/>
        <rFont val="Times New Roman"/>
        <family val="1"/>
        <charset val="238"/>
      </rPr>
      <t>t</t>
    </r>
  </si>
  <si>
    <r>
      <t>P</t>
    </r>
    <r>
      <rPr>
        <i/>
        <vertAlign val="subscript"/>
        <sz val="12"/>
        <color theme="1"/>
        <rFont val="Times New Roman"/>
        <family val="1"/>
        <charset val="238"/>
      </rPr>
      <t>s</t>
    </r>
  </si>
  <si>
    <t>D</t>
  </si>
  <si>
    <t xml:space="preserve">Śr. Serii </t>
  </si>
  <si>
    <t xml:space="preserve">Odchylenie stand.  serii </t>
  </si>
  <si>
    <t>Niepewność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</si>
</sst>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i/>
      <sz val="12"/>
      <color theme="1"/>
      <name val="Times New Roman"/>
      <family val="1"/>
      <charset val="238"/>
    </font>
    <font>
      <i/>
      <vertAlign val="subscript"/>
      <sz val="12"/>
      <color theme="1"/>
      <name val="Times New Roman"/>
      <family val="1"/>
      <charset val="238"/>
    </font>
    <font>
      <i/>
      <vertAlign val="superscript"/>
      <sz val="12"/>
      <color theme="1"/>
      <name val="Times New Roman"/>
      <family val="1"/>
      <charset val="238"/>
    </font>
    <font>
      <i/>
      <sz val="12"/>
      <color theme="1"/>
      <name val="Symbol"/>
      <family val="1"/>
      <charset val="2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i/>
      <sz val="10"/>
      <color rgb="FF000000"/>
      <name val="Times New Roman"/>
      <family val="1"/>
      <charset val="238"/>
    </font>
    <font>
      <i/>
      <vertAlign val="subscript"/>
      <sz val="10"/>
      <color rgb="FF000000"/>
      <name val="Times New Roman"/>
      <family val="1"/>
      <charset val="238"/>
    </font>
    <font>
      <b/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name val="Aptos Narrow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gray125">
        <bgColor rgb="FFE5E5E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1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1" fontId="6" fillId="0" borderId="2" xfId="0" applyNumberFormat="1" applyFont="1" applyBorder="1" applyAlignment="1">
      <alignment horizontal="right" vertical="center" wrapText="1"/>
    </xf>
    <xf numFmtId="11" fontId="7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1" fontId="10" fillId="0" borderId="2" xfId="0" applyNumberFormat="1" applyFont="1" applyBorder="1" applyAlignment="1">
      <alignment horizontal="right" vertical="center" wrapText="1"/>
    </xf>
    <xf numFmtId="11" fontId="11" fillId="0" borderId="2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justify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justify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justify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justify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2D2D-77A1-47DE-830A-432F4E605869}">
  <dimension ref="C1:T35"/>
  <sheetViews>
    <sheetView tabSelected="1" topLeftCell="A20" workbookViewId="0">
      <selection activeCell="L35" sqref="L35"/>
    </sheetView>
  </sheetViews>
  <sheetFormatPr defaultRowHeight="14.45"/>
  <cols>
    <col min="3" max="3" width="9.7109375" customWidth="1"/>
    <col min="4" max="4" width="11.5703125" customWidth="1"/>
    <col min="5" max="5" width="15.28515625" customWidth="1"/>
    <col min="6" max="6" width="8.5703125" customWidth="1"/>
    <col min="7" max="7" width="11.5703125" bestFit="1" customWidth="1"/>
    <col min="8" max="8" width="9.5703125" bestFit="1" customWidth="1"/>
    <col min="9" max="9" width="10.28515625" customWidth="1"/>
    <col min="14" max="14" width="10.140625" customWidth="1"/>
    <col min="16" max="16" width="11.5703125" customWidth="1"/>
    <col min="18" max="18" width="10.5703125" bestFit="1" customWidth="1"/>
    <col min="19" max="19" width="9.5703125" bestFit="1" customWidth="1"/>
    <col min="20" max="20" width="10.7109375" customWidth="1"/>
  </cols>
  <sheetData>
    <row r="1" spans="3:20" ht="15" thickBot="1">
      <c r="I1" s="1"/>
    </row>
    <row r="2" spans="3:20">
      <c r="C2" s="23" t="s">
        <v>0</v>
      </c>
      <c r="D2" s="24"/>
      <c r="E2" s="24"/>
      <c r="F2" s="24"/>
      <c r="G2" s="24"/>
      <c r="H2" s="24"/>
      <c r="I2" s="25"/>
      <c r="N2" s="29" t="s">
        <v>1</v>
      </c>
      <c r="O2" s="30"/>
      <c r="P2" s="30"/>
      <c r="Q2" s="30"/>
      <c r="R2" s="30"/>
      <c r="S2" s="30"/>
      <c r="T2" s="31"/>
    </row>
    <row r="3" spans="3:20" ht="15" thickBot="1">
      <c r="C3" s="26"/>
      <c r="D3" s="27"/>
      <c r="E3" s="27"/>
      <c r="F3" s="27"/>
      <c r="G3" s="27"/>
      <c r="H3" s="27"/>
      <c r="I3" s="28"/>
      <c r="N3" s="32"/>
      <c r="O3" s="33"/>
      <c r="P3" s="33"/>
      <c r="Q3" s="33"/>
      <c r="R3" s="33"/>
      <c r="S3" s="33"/>
      <c r="T3" s="34"/>
    </row>
    <row r="5" spans="3:20" ht="45.6" customHeight="1">
      <c r="C5" s="35" t="s">
        <v>2</v>
      </c>
      <c r="D5" s="35" t="s">
        <v>3</v>
      </c>
      <c r="E5" s="35" t="s">
        <v>4</v>
      </c>
      <c r="F5" s="36" t="s">
        <v>5</v>
      </c>
      <c r="G5" s="36" t="s">
        <v>6</v>
      </c>
      <c r="H5" s="36" t="s">
        <v>7</v>
      </c>
      <c r="I5" s="36" t="s">
        <v>8</v>
      </c>
      <c r="K5" s="19" t="s">
        <v>9</v>
      </c>
      <c r="L5" s="19" t="s">
        <v>10</v>
      </c>
      <c r="N5" s="37" t="s">
        <v>2</v>
      </c>
      <c r="O5" s="37" t="s">
        <v>3</v>
      </c>
      <c r="P5" s="37" t="s">
        <v>4</v>
      </c>
      <c r="Q5" s="38" t="s">
        <v>5</v>
      </c>
      <c r="R5" s="38" t="s">
        <v>6</v>
      </c>
      <c r="S5" s="38" t="s">
        <v>7</v>
      </c>
      <c r="T5" s="38" t="s">
        <v>8</v>
      </c>
    </row>
    <row r="6" spans="3:20" ht="15" customHeight="1">
      <c r="C6" s="35"/>
      <c r="D6" s="35"/>
      <c r="E6" s="35"/>
      <c r="F6" s="36"/>
      <c r="G6" s="36"/>
      <c r="H6" s="36"/>
      <c r="I6" s="36"/>
      <c r="K6" s="3">
        <v>100</v>
      </c>
      <c r="L6" s="3">
        <v>20</v>
      </c>
      <c r="N6" s="37"/>
      <c r="O6" s="37"/>
      <c r="P6" s="37"/>
      <c r="Q6" s="38"/>
      <c r="R6" s="38"/>
      <c r="S6" s="38"/>
      <c r="T6" s="38"/>
    </row>
    <row r="7" spans="3:20" ht="15.6"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N7" s="4">
        <v>1</v>
      </c>
      <c r="O7" s="4">
        <v>2</v>
      </c>
      <c r="P7" s="4">
        <v>3</v>
      </c>
      <c r="Q7" s="4">
        <v>4</v>
      </c>
      <c r="R7" s="4">
        <v>5</v>
      </c>
      <c r="S7" s="4">
        <v>6</v>
      </c>
      <c r="T7" s="4">
        <v>7</v>
      </c>
    </row>
    <row r="8" spans="3:20" ht="18.600000000000001">
      <c r="C8" s="5" t="s">
        <v>11</v>
      </c>
      <c r="D8" s="5" t="s">
        <v>12</v>
      </c>
      <c r="E8" s="4" t="s">
        <v>13</v>
      </c>
      <c r="F8" s="5" t="s">
        <v>14</v>
      </c>
      <c r="G8" s="5" t="s">
        <v>15</v>
      </c>
      <c r="H8" s="5" t="s">
        <v>16</v>
      </c>
      <c r="I8" s="5" t="s">
        <v>17</v>
      </c>
      <c r="N8" s="5" t="s">
        <v>11</v>
      </c>
      <c r="O8" s="5" t="s">
        <v>12</v>
      </c>
      <c r="P8" s="4" t="s">
        <v>13</v>
      </c>
      <c r="Q8" s="5" t="s">
        <v>14</v>
      </c>
      <c r="R8" s="5" t="s">
        <v>15</v>
      </c>
      <c r="S8" s="5" t="s">
        <v>16</v>
      </c>
      <c r="T8" s="5" t="s">
        <v>17</v>
      </c>
    </row>
    <row r="9" spans="3:20" ht="18">
      <c r="C9" s="6" t="s">
        <v>18</v>
      </c>
      <c r="D9" s="7">
        <v>1.2E-5</v>
      </c>
      <c r="E9" s="7">
        <v>1.5E-6</v>
      </c>
      <c r="F9" s="8">
        <v>1.732</v>
      </c>
      <c r="G9" s="7">
        <f>E9/F9</f>
        <v>8.6605080831408778E-7</v>
      </c>
      <c r="H9" s="9">
        <f>K6*(D12-L6)</f>
        <v>39.999999999999858</v>
      </c>
      <c r="I9" s="9">
        <f>G9*H9</f>
        <v>3.4642032332563389E-5</v>
      </c>
      <c r="N9" s="6" t="s">
        <v>18</v>
      </c>
      <c r="O9" s="7">
        <v>1.2E-5</v>
      </c>
      <c r="P9" s="7">
        <v>1.5E-6</v>
      </c>
      <c r="Q9" s="8">
        <v>1.732</v>
      </c>
      <c r="R9" s="7">
        <f>P9/Q9</f>
        <v>8.6605080831408778E-7</v>
      </c>
      <c r="S9" s="9">
        <f>K6*(O12-L6)</f>
        <v>0</v>
      </c>
      <c r="T9" s="9">
        <f>R9*S9</f>
        <v>0</v>
      </c>
    </row>
    <row r="10" spans="3:20" ht="18">
      <c r="C10" s="5" t="s">
        <v>19</v>
      </c>
      <c r="D10" s="8">
        <v>19.399999999999999</v>
      </c>
      <c r="E10" s="8">
        <v>0.2</v>
      </c>
      <c r="F10" s="8">
        <v>1.732</v>
      </c>
      <c r="G10" s="8">
        <f>E10/F10</f>
        <v>0.11547344110854504</v>
      </c>
      <c r="H10" s="9">
        <f>K6*D9</f>
        <v>1.2000000000000001E-3</v>
      </c>
      <c r="I10" s="10">
        <f>G10*H10</f>
        <v>1.3856812933025407E-4</v>
      </c>
      <c r="N10" s="5" t="s">
        <v>19</v>
      </c>
      <c r="O10" s="8">
        <v>20</v>
      </c>
      <c r="P10" s="8">
        <v>1</v>
      </c>
      <c r="Q10" s="8">
        <v>1.732</v>
      </c>
      <c r="R10" s="8">
        <f>P10/Q10</f>
        <v>0.57736720554272514</v>
      </c>
      <c r="S10" s="9">
        <f>K6*O9</f>
        <v>1.2000000000000001E-3</v>
      </c>
      <c r="T10" s="10">
        <f>R10*S10</f>
        <v>6.928406466512702E-4</v>
      </c>
    </row>
    <row r="11" spans="3:20" ht="18">
      <c r="C11" s="6" t="s">
        <v>20</v>
      </c>
      <c r="D11" s="7">
        <v>1.15E-5</v>
      </c>
      <c r="E11" s="7">
        <v>9.9999999999999995E-7</v>
      </c>
      <c r="F11" s="8">
        <v>1.732</v>
      </c>
      <c r="G11" s="7">
        <f>E11/F11</f>
        <v>5.7736720554272515E-7</v>
      </c>
      <c r="H11" s="9">
        <f>-K6*(D12-L6)</f>
        <v>-39.999999999999858</v>
      </c>
      <c r="I11" s="10">
        <f>G11*H11</f>
        <v>-2.3094688221708924E-5</v>
      </c>
      <c r="N11" s="6" t="s">
        <v>20</v>
      </c>
      <c r="O11" s="7">
        <v>1.15E-5</v>
      </c>
      <c r="P11" s="7">
        <v>9.9999999999999995E-7</v>
      </c>
      <c r="Q11" s="8">
        <v>1.732</v>
      </c>
      <c r="R11" s="7">
        <f>P11/Q11</f>
        <v>5.7736720554272515E-7</v>
      </c>
      <c r="S11" s="9">
        <f>-K6*(O12-L6)</f>
        <v>0</v>
      </c>
      <c r="T11" s="10">
        <f>R11*S11</f>
        <v>0</v>
      </c>
    </row>
    <row r="12" spans="3:20" ht="18">
      <c r="C12" s="5" t="s">
        <v>21</v>
      </c>
      <c r="D12" s="8">
        <v>20.399999999999999</v>
      </c>
      <c r="E12" s="8">
        <v>0.2</v>
      </c>
      <c r="F12" s="8">
        <v>1.732</v>
      </c>
      <c r="G12" s="8">
        <f>E12/F12</f>
        <v>0.11547344110854504</v>
      </c>
      <c r="H12" s="9">
        <f>-K6*D11</f>
        <v>-1.15E-3</v>
      </c>
      <c r="I12" s="10">
        <f>G12*H12</f>
        <v>-1.327944572748268E-4</v>
      </c>
      <c r="N12" s="5" t="s">
        <v>21</v>
      </c>
      <c r="O12" s="8">
        <v>20</v>
      </c>
      <c r="P12" s="8">
        <v>1</v>
      </c>
      <c r="Q12" s="8">
        <v>1.732</v>
      </c>
      <c r="R12" s="8">
        <f>P12/Q12</f>
        <v>0.57736720554272514</v>
      </c>
      <c r="S12" s="9">
        <f>-K6*O11</f>
        <v>-1.15E-3</v>
      </c>
      <c r="T12" s="10">
        <f>R12*S12</f>
        <v>-6.6397228637413391E-4</v>
      </c>
    </row>
    <row r="13" spans="3:20" ht="15.6">
      <c r="C13" s="11" t="s">
        <v>22</v>
      </c>
      <c r="D13" s="7">
        <f>(D9*(D10-20)-D11*(D12-20))*K6</f>
        <v>-1.1800000000000003E-3</v>
      </c>
      <c r="E13" s="12"/>
      <c r="F13" s="12"/>
      <c r="G13" s="12"/>
      <c r="H13" s="12"/>
      <c r="I13" s="9">
        <f>SQRT(SUMSQ(I9:I12))</f>
        <v>1.9638973847222802E-4</v>
      </c>
      <c r="N13" s="11" t="s">
        <v>22</v>
      </c>
      <c r="O13" s="8">
        <v>0</v>
      </c>
      <c r="P13" s="12"/>
      <c r="Q13" s="12"/>
      <c r="R13" s="12"/>
      <c r="S13" s="12"/>
      <c r="T13" s="9">
        <f>SQRT(SUMSQ(T9:T12))</f>
        <v>9.596287608888372E-4</v>
      </c>
    </row>
    <row r="14" spans="3:20">
      <c r="I14" s="2">
        <f>2*I13</f>
        <v>3.9277947694445604E-4</v>
      </c>
      <c r="T14" s="2">
        <f>T13*2</f>
        <v>1.9192575217776744E-3</v>
      </c>
    </row>
    <row r="19" spans="3:20" ht="31.15" customHeight="1">
      <c r="C19" s="21" t="s">
        <v>2</v>
      </c>
      <c r="D19" s="21" t="s">
        <v>3</v>
      </c>
      <c r="E19" s="21" t="s">
        <v>4</v>
      </c>
      <c r="F19" s="22" t="s">
        <v>23</v>
      </c>
      <c r="G19" s="22" t="s">
        <v>24</v>
      </c>
      <c r="H19" s="22" t="s">
        <v>7</v>
      </c>
      <c r="I19" s="22" t="s">
        <v>8</v>
      </c>
      <c r="N19" s="40" t="s">
        <v>2</v>
      </c>
      <c r="O19" s="40" t="s">
        <v>3</v>
      </c>
      <c r="P19" s="40" t="s">
        <v>4</v>
      </c>
      <c r="Q19" s="39" t="s">
        <v>23</v>
      </c>
      <c r="R19" s="39" t="s">
        <v>24</v>
      </c>
      <c r="S19" s="39" t="s">
        <v>7</v>
      </c>
      <c r="T19" s="39" t="s">
        <v>8</v>
      </c>
    </row>
    <row r="20" spans="3:20" ht="15" customHeight="1">
      <c r="C20" s="21"/>
      <c r="D20" s="21"/>
      <c r="E20" s="21"/>
      <c r="F20" s="22"/>
      <c r="G20" s="22"/>
      <c r="H20" s="22"/>
      <c r="I20" s="22"/>
      <c r="N20" s="40"/>
      <c r="O20" s="40"/>
      <c r="P20" s="40"/>
      <c r="Q20" s="39"/>
      <c r="R20" s="39"/>
      <c r="S20" s="39"/>
      <c r="T20" s="39"/>
    </row>
    <row r="21" spans="3:20" ht="15.6">
      <c r="C21" s="4">
        <v>1</v>
      </c>
      <c r="D21" s="4">
        <v>2</v>
      </c>
      <c r="E21" s="4">
        <v>3</v>
      </c>
      <c r="F21" s="4">
        <v>4</v>
      </c>
      <c r="G21" s="4">
        <v>5</v>
      </c>
      <c r="H21" s="4">
        <v>6</v>
      </c>
      <c r="I21" s="4">
        <v>7</v>
      </c>
      <c r="N21" s="4">
        <v>1</v>
      </c>
      <c r="O21" s="4">
        <v>2</v>
      </c>
      <c r="P21" s="4">
        <v>3</v>
      </c>
      <c r="Q21" s="4">
        <v>4</v>
      </c>
      <c r="R21" s="4">
        <v>5</v>
      </c>
      <c r="S21" s="4">
        <v>6</v>
      </c>
      <c r="T21" s="4">
        <v>7</v>
      </c>
    </row>
    <row r="22" spans="3:20" ht="18.600000000000001">
      <c r="C22" s="5" t="s">
        <v>11</v>
      </c>
      <c r="D22" s="5" t="s">
        <v>12</v>
      </c>
      <c r="E22" s="4" t="s">
        <v>13</v>
      </c>
      <c r="F22" s="5" t="s">
        <v>14</v>
      </c>
      <c r="G22" s="5" t="s">
        <v>15</v>
      </c>
      <c r="H22" s="5" t="s">
        <v>16</v>
      </c>
      <c r="I22" s="5" t="s">
        <v>17</v>
      </c>
      <c r="N22" s="5" t="s">
        <v>11</v>
      </c>
      <c r="O22" s="5" t="s">
        <v>12</v>
      </c>
      <c r="P22" s="4" t="s">
        <v>13</v>
      </c>
      <c r="Q22" s="5" t="s">
        <v>14</v>
      </c>
      <c r="R22" s="5" t="s">
        <v>15</v>
      </c>
      <c r="S22" s="5" t="s">
        <v>16</v>
      </c>
      <c r="T22" s="5" t="s">
        <v>17</v>
      </c>
    </row>
    <row r="23" spans="3:20" ht="18">
      <c r="C23" s="5" t="s">
        <v>25</v>
      </c>
      <c r="D23" s="7">
        <v>-5.1499999999999997E-2</v>
      </c>
      <c r="E23" s="8"/>
      <c r="F23" s="8"/>
      <c r="G23" s="13">
        <f>E35</f>
        <v>1.740201396390659E-4</v>
      </c>
      <c r="H23" s="9">
        <v>1</v>
      </c>
      <c r="I23" s="9">
        <f>G23*H23</f>
        <v>1.740201396390659E-4</v>
      </c>
      <c r="N23" s="5" t="s">
        <v>25</v>
      </c>
      <c r="O23" s="7">
        <v>-5.1499999999999997E-2</v>
      </c>
      <c r="P23" s="8"/>
      <c r="Q23" s="8"/>
      <c r="R23" s="13">
        <f>E35</f>
        <v>1.740201396390659E-4</v>
      </c>
      <c r="S23" s="9">
        <v>1</v>
      </c>
      <c r="T23" s="9">
        <f>R23*S23</f>
        <v>1.740201396390659E-4</v>
      </c>
    </row>
    <row r="24" spans="3:20" ht="18">
      <c r="C24" s="5" t="s">
        <v>26</v>
      </c>
      <c r="D24" s="7">
        <v>1.5E-3</v>
      </c>
      <c r="E24" s="7">
        <v>2.0000000000000001E-4</v>
      </c>
      <c r="F24" s="8">
        <v>2</v>
      </c>
      <c r="G24" s="7">
        <f>E24/F24</f>
        <v>1E-4</v>
      </c>
      <c r="H24" s="9">
        <v>1</v>
      </c>
      <c r="I24" s="9">
        <f t="shared" ref="I24:I30" si="0">G24*H24</f>
        <v>1E-4</v>
      </c>
      <c r="N24" s="5" t="s">
        <v>26</v>
      </c>
      <c r="O24" s="7">
        <v>0</v>
      </c>
      <c r="P24" s="7">
        <v>5.9999999999999995E-4</v>
      </c>
      <c r="Q24" s="8">
        <v>1.732</v>
      </c>
      <c r="R24" s="7">
        <f>P24/Q24</f>
        <v>3.464203233256351E-4</v>
      </c>
      <c r="S24" s="9">
        <v>1</v>
      </c>
      <c r="T24" s="9">
        <f>R24*S24</f>
        <v>3.464203233256351E-4</v>
      </c>
    </row>
    <row r="25" spans="3:20" ht="18">
      <c r="C25" s="5" t="s">
        <v>27</v>
      </c>
      <c r="D25" s="7">
        <v>0</v>
      </c>
      <c r="E25" s="8"/>
      <c r="F25" s="8">
        <v>1.732</v>
      </c>
      <c r="G25" s="7">
        <f t="shared" ref="G25:G26" si="1">E25/F25</f>
        <v>0</v>
      </c>
      <c r="H25" s="9">
        <v>-1</v>
      </c>
      <c r="I25" s="9">
        <f t="shared" si="0"/>
        <v>0</v>
      </c>
      <c r="N25" s="5" t="s">
        <v>27</v>
      </c>
      <c r="O25" s="7">
        <v>0</v>
      </c>
      <c r="P25" s="8"/>
      <c r="Q25" s="8"/>
      <c r="R25" s="17">
        <v>1.4999999999999999E-4</v>
      </c>
      <c r="S25" s="9">
        <v>-1</v>
      </c>
      <c r="T25" s="9">
        <f t="shared" ref="T25:T30" si="2">R25*S25</f>
        <v>-1.4999999999999999E-4</v>
      </c>
    </row>
    <row r="26" spans="3:20" ht="18">
      <c r="C26" s="5" t="s">
        <v>28</v>
      </c>
      <c r="D26" s="7">
        <v>0</v>
      </c>
      <c r="E26" s="7">
        <v>2.0000000000000001E-4</v>
      </c>
      <c r="F26" s="8">
        <v>2</v>
      </c>
      <c r="G26" s="7">
        <f t="shared" si="1"/>
        <v>1E-4</v>
      </c>
      <c r="H26" s="9">
        <v>-1</v>
      </c>
      <c r="I26" s="9">
        <f t="shared" si="0"/>
        <v>-1E-4</v>
      </c>
      <c r="N26" s="5" t="s">
        <v>28</v>
      </c>
      <c r="O26" s="7">
        <v>0</v>
      </c>
      <c r="P26" s="7">
        <v>5.9999999999999995E-4</v>
      </c>
      <c r="Q26" s="8">
        <v>1.732</v>
      </c>
      <c r="R26" s="7">
        <f>P26/Q26</f>
        <v>3.464203233256351E-4</v>
      </c>
      <c r="S26" s="9">
        <v>-1</v>
      </c>
      <c r="T26" s="9">
        <f>R26*S26</f>
        <v>-3.464203233256351E-4</v>
      </c>
    </row>
    <row r="27" spans="3:20" ht="15.6">
      <c r="C27" s="5" t="s">
        <v>29</v>
      </c>
      <c r="D27" s="7">
        <v>100</v>
      </c>
      <c r="E27" s="8"/>
      <c r="F27" s="8"/>
      <c r="G27" s="8"/>
      <c r="H27" s="14"/>
      <c r="I27" s="9">
        <f t="shared" si="0"/>
        <v>0</v>
      </c>
      <c r="N27" s="5" t="s">
        <v>29</v>
      </c>
      <c r="O27" s="7">
        <v>100</v>
      </c>
      <c r="P27" s="8"/>
      <c r="Q27" s="8"/>
      <c r="R27" s="8"/>
      <c r="S27" s="14"/>
      <c r="T27" s="9">
        <f t="shared" si="2"/>
        <v>0</v>
      </c>
    </row>
    <row r="28" spans="3:20" ht="18">
      <c r="C28" s="5" t="s">
        <v>30</v>
      </c>
      <c r="D28" s="7">
        <v>0</v>
      </c>
      <c r="E28" s="7">
        <v>2.9999999999999997E-4</v>
      </c>
      <c r="F28" s="8">
        <v>2</v>
      </c>
      <c r="G28" s="7">
        <f>E28/F28</f>
        <v>1.4999999999999999E-4</v>
      </c>
      <c r="H28" s="9">
        <v>1</v>
      </c>
      <c r="I28" s="9">
        <f t="shared" si="0"/>
        <v>1.4999999999999999E-4</v>
      </c>
      <c r="N28" s="5" t="s">
        <v>30</v>
      </c>
      <c r="O28" s="7">
        <v>0</v>
      </c>
      <c r="P28" s="7">
        <v>8.0000000000000004E-4</v>
      </c>
      <c r="Q28" s="8">
        <v>1.732</v>
      </c>
      <c r="R28" s="7">
        <f>P28/Q28</f>
        <v>4.6189376443418019E-4</v>
      </c>
      <c r="S28" s="9">
        <v>1</v>
      </c>
      <c r="T28" s="9">
        <f t="shared" si="2"/>
        <v>4.6189376443418019E-4</v>
      </c>
    </row>
    <row r="29" spans="3:20" ht="18">
      <c r="C29" s="5" t="s">
        <v>31</v>
      </c>
      <c r="D29" s="7">
        <v>1.1800000000000001E-3</v>
      </c>
      <c r="E29" s="7">
        <v>2.0000000000000001E-4</v>
      </c>
      <c r="F29" s="8">
        <v>2</v>
      </c>
      <c r="G29" s="7">
        <f>E29/F29</f>
        <v>1E-4</v>
      </c>
      <c r="H29" s="9">
        <v>1</v>
      </c>
      <c r="I29" s="9">
        <f t="shared" si="0"/>
        <v>1E-4</v>
      </c>
      <c r="N29" s="5" t="s">
        <v>31</v>
      </c>
      <c r="O29" s="7">
        <v>0</v>
      </c>
      <c r="P29" s="17">
        <f>T14</f>
        <v>1.9192575217776744E-3</v>
      </c>
      <c r="Q29" s="8">
        <v>2</v>
      </c>
      <c r="R29" s="7">
        <f>P29/Q29</f>
        <v>9.596287608888372E-4</v>
      </c>
      <c r="S29" s="9">
        <v>1</v>
      </c>
      <c r="T29" s="9">
        <f t="shared" si="2"/>
        <v>9.596287608888372E-4</v>
      </c>
    </row>
    <row r="30" spans="3:20" ht="18">
      <c r="C30" s="5" t="s">
        <v>32</v>
      </c>
      <c r="D30" s="7">
        <v>0</v>
      </c>
      <c r="E30" s="7">
        <v>0</v>
      </c>
      <c r="F30" s="8"/>
      <c r="G30" s="8"/>
      <c r="H30" s="9">
        <v>1</v>
      </c>
      <c r="I30" s="9">
        <f t="shared" si="0"/>
        <v>0</v>
      </c>
      <c r="N30" s="5" t="s">
        <v>32</v>
      </c>
      <c r="O30" s="7">
        <v>0</v>
      </c>
      <c r="P30" s="7">
        <v>0</v>
      </c>
      <c r="Q30" s="8"/>
      <c r="R30" s="8"/>
      <c r="S30" s="9">
        <v>1</v>
      </c>
      <c r="T30" s="9">
        <f t="shared" si="2"/>
        <v>0</v>
      </c>
    </row>
    <row r="31" spans="3:20" ht="15.6">
      <c r="C31" s="5" t="s">
        <v>33</v>
      </c>
      <c r="D31" s="15">
        <f>(D23+D24)-(D25+D26)+D27+D28+D29+D30</f>
        <v>99.951180000000008</v>
      </c>
      <c r="E31" s="12"/>
      <c r="F31" s="12"/>
      <c r="G31" s="12"/>
      <c r="H31" s="12"/>
      <c r="I31" s="16">
        <f>SQRT(SUMSQ(I23:I30))</f>
        <v>2.8772036598058188E-4</v>
      </c>
      <c r="N31" s="5" t="s">
        <v>33</v>
      </c>
      <c r="O31" s="15">
        <f>(O23+O24)-(O25+O26)+O27+O28+O29+O30</f>
        <v>99.948499999999996</v>
      </c>
      <c r="P31" s="12"/>
      <c r="Q31" s="12"/>
      <c r="R31" s="12"/>
      <c r="S31" s="12"/>
      <c r="T31" s="16">
        <f>SQRT(SUMSQ(T23:T30))</f>
        <v>1.1945837342665847E-3</v>
      </c>
    </row>
    <row r="32" spans="3:20">
      <c r="I32" s="2">
        <f>2*I31</f>
        <v>5.7544073196116375E-4</v>
      </c>
      <c r="T32" s="2">
        <f>T31*2</f>
        <v>2.3891674685331695E-3</v>
      </c>
    </row>
    <row r="34" spans="3:5" ht="28.9">
      <c r="C34" s="18" t="s">
        <v>34</v>
      </c>
      <c r="D34" s="20" t="s">
        <v>35</v>
      </c>
      <c r="E34" s="20" t="s">
        <v>36</v>
      </c>
    </row>
    <row r="35" spans="3:5">
      <c r="C35" s="3">
        <f>844.5/10</f>
        <v>84.45</v>
      </c>
      <c r="D35" s="3">
        <v>0.55030000000000001</v>
      </c>
      <c r="E35" s="3">
        <f>(0.5503/SQRT(10))/1000</f>
        <v>1.740201396390659E-4</v>
      </c>
    </row>
  </sheetData>
  <mergeCells count="30">
    <mergeCell ref="T19:T20"/>
    <mergeCell ref="N19:N20"/>
    <mergeCell ref="O19:O20"/>
    <mergeCell ref="P19:P20"/>
    <mergeCell ref="Q19:Q20"/>
    <mergeCell ref="R19:R20"/>
    <mergeCell ref="S19:S20"/>
    <mergeCell ref="C2:I3"/>
    <mergeCell ref="N2:T3"/>
    <mergeCell ref="C5:C6"/>
    <mergeCell ref="D5:D6"/>
    <mergeCell ref="E5:E6"/>
    <mergeCell ref="F5:F6"/>
    <mergeCell ref="G5:G6"/>
    <mergeCell ref="H5:H6"/>
    <mergeCell ref="I5:I6"/>
    <mergeCell ref="N5:N6"/>
    <mergeCell ref="O5:O6"/>
    <mergeCell ref="P5:P6"/>
    <mergeCell ref="Q5:Q6"/>
    <mergeCell ref="T5:T6"/>
    <mergeCell ref="R5:R6"/>
    <mergeCell ref="S5:S6"/>
    <mergeCell ref="C19:C20"/>
    <mergeCell ref="D19:D20"/>
    <mergeCell ref="E19:E20"/>
    <mergeCell ref="F19:F20"/>
    <mergeCell ref="I19:I20"/>
    <mergeCell ref="G19:G20"/>
    <mergeCell ref="H19:H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7236-205b-4a5e-840a-022c7fa7f401" xsi:nil="true"/>
    <ReferenceId xmlns="80821202-0399-4cf0-9e3f-24157e412172" xsi:nil="true"/>
    <lcf76f155ced4ddcb4097134ff3c332f xmlns="80821202-0399-4cf0-9e3f-24157e4121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31D9FD45D33A4187A75374B2E07D70" ma:contentTypeVersion="11" ma:contentTypeDescription="Utwórz nowy dokument." ma:contentTypeScope="" ma:versionID="e2dd7c3049f589c526f3cd53ec90e479">
  <xsd:schema xmlns:xsd="http://www.w3.org/2001/XMLSchema" xmlns:xs="http://www.w3.org/2001/XMLSchema" xmlns:p="http://schemas.microsoft.com/office/2006/metadata/properties" xmlns:ns2="80821202-0399-4cf0-9e3f-24157e412172" xmlns:ns3="7a607236-205b-4a5e-840a-022c7fa7f401" targetNamespace="http://schemas.microsoft.com/office/2006/metadata/properties" ma:root="true" ma:fieldsID="548a9fac0287aa2963f50afa18d85aef" ns2:_="" ns3:_="">
    <xsd:import namespace="80821202-0399-4cf0-9e3f-24157e412172"/>
    <xsd:import namespace="7a607236-205b-4a5e-840a-022c7fa7f4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21202-0399-4cf0-9e3f-24157e41217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e1a26482-f116-441c-86cb-e37980d8b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7236-205b-4a5e-840a-022c7fa7f4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1fb8d-a18d-45d6-9d87-6d8ceeaf046b}" ma:internalName="TaxCatchAll" ma:showField="CatchAllData" ma:web="7a607236-205b-4a5e-840a-022c7fa7f4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357427-C7D3-4773-AC41-D03A8250E822}"/>
</file>

<file path=customXml/itemProps2.xml><?xml version="1.0" encoding="utf-8"?>
<ds:datastoreItem xmlns:ds="http://schemas.openxmlformats.org/officeDocument/2006/customXml" ds:itemID="{103BCB81-84AC-4864-BC25-41D16BC5C077}"/>
</file>

<file path=customXml/itemProps3.xml><?xml version="1.0" encoding="utf-8"?>
<ds:datastoreItem xmlns:ds="http://schemas.openxmlformats.org/officeDocument/2006/customXml" ds:itemID="{8E39C7D6-2D66-48DA-A77F-6FE74FD2A6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Głowacka Julia (STUD)</dc:creator>
  <cp:keywords/>
  <dc:description/>
  <cp:lastModifiedBy>Ostaszewska-Liżewska Anna</cp:lastModifiedBy>
  <cp:revision/>
  <dcterms:created xsi:type="dcterms:W3CDTF">2025-08-26T15:27:18Z</dcterms:created>
  <dcterms:modified xsi:type="dcterms:W3CDTF">2025-09-11T16:35:37Z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0x010100A031D9FD45D33A4187A75374B2E07D70</vt:lpwstr>
  </property>
  <property fmtid="{D5CDD505-2E9C-101B-9397-08002B2CF9AE}" pid="3" name="MediaServiceImageTags">
    <vt:lpwstr/>
  </property>
</Properties>
</file>
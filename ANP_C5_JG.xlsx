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Administrator\Desktop\MGR\ANP_CW\Gotowe\5\"/>
    </mc:Choice>
  </mc:AlternateContent>
  <xr:revisionPtr revIDLastSave="0" documentId="13_ncr:1_{5DFE7A79-1FF3-4DFC-9182-B26C0F43218B}" xr6:coauthVersionLast="47" xr6:coauthVersionMax="47" xr10:uidLastSave="{00000000-0000-0000-0000-000000000000}"/>
  <bookViews>
    <workbookView xWindow="-108" yWindow="-108" windowWidth="23256" windowHeight="12456" xr2:uid="{8F7D58BA-130C-4EFE-BAA0-25C5319BFF13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K32" i="1"/>
  <c r="G32" i="1"/>
  <c r="G33" i="1" s="1"/>
  <c r="O33" i="1"/>
  <c r="O28" i="1"/>
  <c r="E29" i="1"/>
  <c r="L31" i="1"/>
  <c r="L30" i="1"/>
  <c r="D30" i="1"/>
  <c r="L29" i="1"/>
  <c r="D29" i="1"/>
  <c r="G29" i="1" s="1"/>
  <c r="L28" i="1"/>
  <c r="D28" i="1"/>
  <c r="L27" i="1"/>
  <c r="O27" i="1" s="1"/>
  <c r="K27" i="1"/>
  <c r="K28" i="1"/>
  <c r="C28" i="1"/>
  <c r="M31" i="1"/>
  <c r="O31" i="1"/>
  <c r="M30" i="1"/>
  <c r="O30" i="1" s="1"/>
  <c r="M29" i="1"/>
  <c r="O29" i="1"/>
  <c r="G28" i="1"/>
  <c r="G30" i="1"/>
  <c r="G31" i="1"/>
  <c r="D31" i="1"/>
  <c r="E31" i="1"/>
  <c r="E30" i="1"/>
  <c r="D27" i="1"/>
  <c r="G27" i="1" s="1"/>
  <c r="M12" i="1"/>
  <c r="C27" i="1"/>
  <c r="K14" i="1"/>
  <c r="K15" i="1"/>
  <c r="K16" i="1"/>
  <c r="K17" i="1"/>
  <c r="K18" i="1"/>
  <c r="K13" i="1"/>
  <c r="J14" i="1"/>
  <c r="J15" i="1"/>
  <c r="J16" i="1"/>
  <c r="J17" i="1"/>
  <c r="J18" i="1"/>
  <c r="J13" i="1"/>
  <c r="O32" i="1" l="1"/>
</calcChain>
</file>

<file path=xl/sharedStrings.xml><?xml version="1.0" encoding="utf-8"?>
<sst xmlns="http://schemas.openxmlformats.org/spreadsheetml/2006/main" count="57" uniqueCount="38">
  <si>
    <t>Wyniki wzorcowamia mikrometru nr 5.</t>
  </si>
  <si>
    <t>Punkt pomiarowy mm</t>
  </si>
  <si>
    <t>Wyniki pomiarów</t>
  </si>
  <si>
    <t xml:space="preserve">Błąd wskazania </t>
  </si>
  <si>
    <t>Odchylenie standardowe</t>
  </si>
  <si>
    <t>Średnia</t>
  </si>
  <si>
    <t>u(W)</t>
  </si>
  <si>
    <t>u(L)</t>
  </si>
  <si>
    <t>u(alfa)</t>
  </si>
  <si>
    <t>u(dt)</t>
  </si>
  <si>
    <t>u(delta rw)</t>
  </si>
  <si>
    <t>µm</t>
  </si>
  <si>
    <t>odcylenie standardowe W</t>
  </si>
  <si>
    <t>te</t>
  </si>
  <si>
    <t>alfa</t>
  </si>
  <si>
    <t>temp</t>
  </si>
  <si>
    <t>d</t>
  </si>
  <si>
    <t>n</t>
  </si>
  <si>
    <t>nd</t>
  </si>
  <si>
    <t>Symbol wielkości</t>
  </si>
  <si>
    <t>Estymata wielkości</t>
  </si>
  <si>
    <t>Niepewność standardowa</t>
  </si>
  <si>
    <t xml:space="preserve">Rozkład prawdopodo-bieństwa </t>
  </si>
  <si>
    <t>Współczynnik wplywu</t>
  </si>
  <si>
    <t>Składowe niepewności standardowej złożonej</t>
  </si>
  <si>
    <t>Xi</t>
  </si>
  <si>
    <r>
      <t>x</t>
    </r>
    <r>
      <rPr>
        <b/>
        <i/>
        <vertAlign val="subscript"/>
        <sz val="10"/>
        <color theme="1"/>
        <rFont val="Times New Roman"/>
        <family val="1"/>
        <charset val="238"/>
      </rPr>
      <t>ipop</t>
    </r>
  </si>
  <si>
    <r>
      <t>u(X</t>
    </r>
    <r>
      <rPr>
        <i/>
        <vertAlign val="subscript"/>
        <sz val="10"/>
        <color theme="1"/>
        <rFont val="Times New Roman"/>
        <family val="1"/>
        <charset val="238"/>
      </rPr>
      <t>i</t>
    </r>
    <r>
      <rPr>
        <i/>
        <sz val="10"/>
        <color theme="1"/>
        <rFont val="Times New Roman"/>
        <family val="1"/>
        <charset val="238"/>
      </rPr>
      <t>)</t>
    </r>
  </si>
  <si>
    <r>
      <t>c</t>
    </r>
    <r>
      <rPr>
        <b/>
        <i/>
        <vertAlign val="subscript"/>
        <sz val="10"/>
        <color theme="1"/>
        <rFont val="Times New Roman"/>
        <family val="1"/>
        <charset val="238"/>
      </rPr>
      <t>i</t>
    </r>
  </si>
  <si>
    <r>
      <t>u</t>
    </r>
    <r>
      <rPr>
        <i/>
        <vertAlign val="subscript"/>
        <sz val="12"/>
        <color theme="1"/>
        <rFont val="Times New Roman"/>
        <family val="1"/>
        <charset val="238"/>
      </rPr>
      <t>i</t>
    </r>
    <r>
      <rPr>
        <i/>
        <sz val="12"/>
        <color theme="1"/>
        <rFont val="Times New Roman"/>
        <family val="1"/>
        <charset val="238"/>
      </rPr>
      <t>(Y)</t>
    </r>
  </si>
  <si>
    <t>Wx</t>
  </si>
  <si>
    <t>lw</t>
  </si>
  <si>
    <t>trapezowy</t>
  </si>
  <si>
    <t>a</t>
  </si>
  <si>
    <t>dt</t>
  </si>
  <si>
    <t>Δrw</t>
  </si>
  <si>
    <t>Ex =</t>
  </si>
  <si>
    <r>
      <t xml:space="preserve">         u(E</t>
    </r>
    <r>
      <rPr>
        <b/>
        <i/>
        <vertAlign val="subscript"/>
        <sz val="12"/>
        <color rgb="FF000000"/>
        <rFont val="Times New Roman"/>
        <family val="1"/>
        <charset val="238"/>
      </rPr>
      <t>x</t>
    </r>
    <r>
      <rPr>
        <b/>
        <i/>
        <sz val="12"/>
        <color rgb="FF000000"/>
        <rFont val="Times New Roman"/>
        <family val="1"/>
        <charset val="238"/>
      </rPr>
      <t>)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</si>
</sst>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sz val="10"/>
      <color rgb="FF000000"/>
      <name val="Symbol"/>
      <family val="1"/>
      <charset val="2"/>
    </font>
    <font>
      <sz val="10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color theme="1"/>
      <name val="Times New Roman"/>
      <family val="1"/>
      <charset val="238"/>
    </font>
    <font>
      <b/>
      <i/>
      <sz val="10"/>
      <color theme="1"/>
      <name val="Times New Roman"/>
      <family val="1"/>
      <charset val="238"/>
    </font>
    <font>
      <b/>
      <i/>
      <vertAlign val="subscript"/>
      <sz val="10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i/>
      <sz val="10"/>
      <color theme="1"/>
      <name val="Times New Roman"/>
      <family val="1"/>
      <charset val="238"/>
    </font>
    <font>
      <i/>
      <vertAlign val="subscript"/>
      <sz val="12"/>
      <color theme="1"/>
      <name val="Times New Roman"/>
      <family val="1"/>
      <charset val="238"/>
    </font>
    <font>
      <i/>
      <vertAlign val="subscript"/>
      <sz val="10"/>
      <color theme="1"/>
      <name val="Times New Roman"/>
      <family val="1"/>
      <charset val="238"/>
    </font>
    <font>
      <i/>
      <sz val="10"/>
      <color rgb="FF000000"/>
      <name val="Arial"/>
      <family val="2"/>
      <charset val="238"/>
    </font>
    <font>
      <b/>
      <i/>
      <sz val="12"/>
      <color rgb="FF000000"/>
      <name val="Times New Roman"/>
      <family val="1"/>
      <charset val="238"/>
    </font>
    <font>
      <b/>
      <i/>
      <vertAlign val="subscript"/>
      <sz val="12"/>
      <color rgb="FF000000"/>
      <name val="Times New Roman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/>
      <right style="thick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1" fontId="1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1" fontId="4" fillId="0" borderId="2" xfId="0" applyNumberFormat="1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1" fillId="3" borderId="2" xfId="2" applyBorder="1" applyAlignment="1">
      <alignment horizontal="justify" vertical="center" wrapText="1"/>
    </xf>
    <xf numFmtId="0" fontId="15" fillId="0" borderId="2" xfId="0" applyFont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11" fontId="14" fillId="0" borderId="5" xfId="0" applyNumberFormat="1" applyFont="1" applyBorder="1" applyAlignment="1">
      <alignment horizontal="center" vertical="center" wrapText="1"/>
    </xf>
    <xf numFmtId="0" fontId="1" fillId="4" borderId="2" xfId="3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4" borderId="3" xfId="3" applyBorder="1" applyAlignment="1">
      <alignment horizontal="center" vertical="center" wrapText="1"/>
    </xf>
    <xf numFmtId="0" fontId="1" fillId="4" borderId="4" xfId="3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">
    <cellStyle name="20% — akcent 2" xfId="1" builtinId="34"/>
    <cellStyle name="40% — akcent 2" xfId="2" builtinId="35"/>
    <cellStyle name="60% — akcent 2" xfId="3" builtinId="3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BC26-6932-4A70-9A4A-0D3EFB08795B}">
  <dimension ref="B6:Q33"/>
  <sheetViews>
    <sheetView tabSelected="1" topLeftCell="D21" zoomScale="115" zoomScaleNormal="115" workbookViewId="0">
      <selection activeCell="L37" sqref="L37"/>
    </sheetView>
  </sheetViews>
  <sheetFormatPr defaultRowHeight="14.45"/>
  <cols>
    <col min="2" max="2" width="17.28515625" customWidth="1"/>
    <col min="4" max="4" width="13" customWidth="1"/>
    <col min="5" max="5" width="12.85546875" customWidth="1"/>
    <col min="6" max="6" width="13" customWidth="1"/>
    <col min="7" max="7" width="13.5703125" customWidth="1"/>
    <col min="10" max="10" width="12.85546875" customWidth="1"/>
    <col min="11" max="11" width="10.5703125" bestFit="1" customWidth="1"/>
    <col min="12" max="12" width="16.7109375" customWidth="1"/>
    <col min="13" max="13" width="12.42578125" customWidth="1"/>
    <col min="14" max="14" width="15.5703125" customWidth="1"/>
    <col min="15" max="15" width="13.5703125" customWidth="1"/>
    <col min="17" max="17" width="11" customWidth="1"/>
  </cols>
  <sheetData>
    <row r="6" spans="2:17" ht="15.6">
      <c r="B6" s="30" t="s">
        <v>0</v>
      </c>
      <c r="C6" s="30"/>
      <c r="D6" s="30"/>
    </row>
    <row r="7" spans="2:17" ht="15.6">
      <c r="B7" s="1"/>
    </row>
    <row r="8" spans="2:17">
      <c r="B8" s="2"/>
      <c r="C8" s="2"/>
      <c r="D8" s="3"/>
      <c r="E8" s="3"/>
      <c r="F8" s="3"/>
      <c r="G8" s="4"/>
      <c r="H8" s="5"/>
      <c r="I8" s="6"/>
    </row>
    <row r="9" spans="2:17">
      <c r="B9" s="3"/>
      <c r="C9" s="3"/>
      <c r="D9" s="3"/>
      <c r="E9" s="3"/>
      <c r="F9" s="3"/>
      <c r="G9" s="3"/>
      <c r="H9" s="3"/>
      <c r="I9" s="6"/>
    </row>
    <row r="10" spans="2:17" ht="22.5" customHeight="1">
      <c r="B10" s="29" t="s">
        <v>1</v>
      </c>
      <c r="C10" s="29" t="s">
        <v>2</v>
      </c>
      <c r="D10" s="29"/>
      <c r="E10" s="29"/>
      <c r="F10" s="29"/>
      <c r="G10" s="29"/>
      <c r="H10" s="29" t="s">
        <v>3</v>
      </c>
      <c r="I10" s="29"/>
      <c r="J10" s="34" t="s">
        <v>4</v>
      </c>
      <c r="K10" s="36" t="s">
        <v>5</v>
      </c>
      <c r="L10" s="38"/>
      <c r="M10" s="36" t="s">
        <v>6</v>
      </c>
      <c r="N10" s="36" t="s">
        <v>7</v>
      </c>
      <c r="O10" s="36" t="s">
        <v>8</v>
      </c>
      <c r="P10" s="36" t="s">
        <v>9</v>
      </c>
      <c r="Q10" s="34" t="s">
        <v>10</v>
      </c>
    </row>
    <row r="11" spans="2:17">
      <c r="B11" s="29"/>
      <c r="C11" s="29"/>
      <c r="D11" s="29"/>
      <c r="E11" s="29"/>
      <c r="F11" s="29"/>
      <c r="G11" s="29"/>
      <c r="H11" s="29" t="s">
        <v>11</v>
      </c>
      <c r="I11" s="29"/>
      <c r="J11" s="35"/>
      <c r="K11" s="37"/>
      <c r="L11" s="39"/>
      <c r="M11" s="37"/>
      <c r="N11" s="37"/>
      <c r="O11" s="37"/>
      <c r="P11" s="37"/>
      <c r="Q11" s="35"/>
    </row>
    <row r="12" spans="2:17">
      <c r="B12" s="10"/>
      <c r="C12" s="7">
        <v>1</v>
      </c>
      <c r="D12" s="7">
        <v>2</v>
      </c>
      <c r="E12" s="7">
        <v>3</v>
      </c>
      <c r="F12" s="7">
        <v>4</v>
      </c>
      <c r="G12" s="7">
        <v>5</v>
      </c>
      <c r="H12" s="31"/>
      <c r="I12" s="31"/>
      <c r="J12" s="8"/>
      <c r="K12" s="8"/>
      <c r="L12" s="40" t="s">
        <v>12</v>
      </c>
      <c r="M12" s="42">
        <f>SUM(J13:J18)</f>
        <v>9.4365020161053543E-3</v>
      </c>
      <c r="N12" s="8" t="s">
        <v>13</v>
      </c>
      <c r="O12" s="8" t="s">
        <v>14</v>
      </c>
      <c r="P12" s="8" t="s">
        <v>15</v>
      </c>
      <c r="Q12" s="8" t="s">
        <v>16</v>
      </c>
    </row>
    <row r="13" spans="2:17">
      <c r="B13" s="11">
        <v>0</v>
      </c>
      <c r="C13" s="12">
        <v>0</v>
      </c>
      <c r="D13" s="12">
        <v>-1E-3</v>
      </c>
      <c r="E13" s="12">
        <v>0</v>
      </c>
      <c r="F13" s="12">
        <v>0</v>
      </c>
      <c r="G13" s="12">
        <v>1E-3</v>
      </c>
      <c r="H13" s="28">
        <v>0</v>
      </c>
      <c r="I13" s="28"/>
      <c r="J13" s="8">
        <f>STDEV(C13:G13)</f>
        <v>7.0710678118654751E-4</v>
      </c>
      <c r="K13" s="9">
        <f>AVERAGE(C13:G13)</f>
        <v>0</v>
      </c>
      <c r="L13" s="41"/>
      <c r="M13" s="43"/>
      <c r="N13" s="8">
        <v>5.9999999999999995E-4</v>
      </c>
      <c r="O13" s="8">
        <v>1.9999999999999999E-6</v>
      </c>
      <c r="P13" s="8">
        <v>2</v>
      </c>
      <c r="Q13" s="8">
        <v>1E-3</v>
      </c>
    </row>
    <row r="14" spans="2:17">
      <c r="B14" s="11">
        <v>5.12</v>
      </c>
      <c r="C14" s="12">
        <v>5.117</v>
      </c>
      <c r="D14" s="12">
        <v>5.1150000000000002</v>
      </c>
      <c r="E14" s="12">
        <v>5.1150000000000002</v>
      </c>
      <c r="F14" s="12">
        <v>5.12</v>
      </c>
      <c r="G14" s="12">
        <v>5.12</v>
      </c>
      <c r="H14" s="28">
        <v>-2.6</v>
      </c>
      <c r="I14" s="28"/>
      <c r="J14" s="8">
        <f t="shared" ref="J14:J18" si="0">STDEV(C14:G14)</f>
        <v>2.5099800796021801E-3</v>
      </c>
      <c r="K14" s="8">
        <f t="shared" ref="K14:K18" si="1">AVERAGE(C14:G14)</f>
        <v>5.1173999999999999</v>
      </c>
      <c r="L14" s="8" t="s">
        <v>17</v>
      </c>
      <c r="M14" s="8">
        <v>5</v>
      </c>
    </row>
    <row r="15" spans="2:17">
      <c r="B15" s="11">
        <v>10.25</v>
      </c>
      <c r="C15" s="12">
        <v>10.244999999999999</v>
      </c>
      <c r="D15" s="12">
        <v>10.250999999999999</v>
      </c>
      <c r="E15" s="12">
        <v>10.247999999999999</v>
      </c>
      <c r="F15" s="12">
        <v>10.252000000000001</v>
      </c>
      <c r="G15" s="12">
        <v>10.250999999999999</v>
      </c>
      <c r="H15" s="28">
        <v>-0.6</v>
      </c>
      <c r="I15" s="28"/>
      <c r="J15" s="8">
        <f t="shared" si="0"/>
        <v>2.8809720581779632E-3</v>
      </c>
      <c r="K15" s="8">
        <f t="shared" si="1"/>
        <v>10.2494</v>
      </c>
      <c r="L15" s="8" t="s">
        <v>18</v>
      </c>
      <c r="M15" s="8">
        <v>6</v>
      </c>
    </row>
    <row r="16" spans="2:17">
      <c r="B16" s="11">
        <v>15.37</v>
      </c>
      <c r="C16" s="12">
        <v>15.37</v>
      </c>
      <c r="D16" s="12">
        <v>15.369</v>
      </c>
      <c r="E16" s="12">
        <v>15.371</v>
      </c>
      <c r="F16" s="12">
        <v>15.371</v>
      </c>
      <c r="G16" s="12">
        <v>15.368</v>
      </c>
      <c r="H16" s="28">
        <v>-0.2</v>
      </c>
      <c r="I16" s="28"/>
      <c r="J16" s="8">
        <f t="shared" si="0"/>
        <v>1.3038404810406246E-3</v>
      </c>
      <c r="K16" s="8">
        <f t="shared" si="1"/>
        <v>15.369800000000001</v>
      </c>
    </row>
    <row r="17" spans="2:15">
      <c r="B17" s="11">
        <v>21.5</v>
      </c>
      <c r="C17" s="12">
        <v>21.501000000000001</v>
      </c>
      <c r="D17" s="12">
        <v>21.501999999999999</v>
      </c>
      <c r="E17" s="12">
        <v>21.5</v>
      </c>
      <c r="F17" s="12">
        <v>21.503</v>
      </c>
      <c r="G17" s="12">
        <v>21.501999999999999</v>
      </c>
      <c r="H17" s="28">
        <v>1.6</v>
      </c>
      <c r="I17" s="28"/>
      <c r="J17" s="8">
        <f t="shared" si="0"/>
        <v>1.1401754250988177E-3</v>
      </c>
      <c r="K17" s="8">
        <f t="shared" si="1"/>
        <v>21.5016</v>
      </c>
    </row>
    <row r="18" spans="2:15">
      <c r="B18" s="11">
        <v>25</v>
      </c>
      <c r="C18" s="12">
        <v>25.003</v>
      </c>
      <c r="D18" s="12">
        <v>25.001000000000001</v>
      </c>
      <c r="E18" s="12">
        <v>25.001000000000001</v>
      </c>
      <c r="F18" s="12">
        <v>25.001000000000001</v>
      </c>
      <c r="G18" s="12">
        <v>25.001999999999999</v>
      </c>
      <c r="H18" s="28">
        <v>1.6</v>
      </c>
      <c r="I18" s="28"/>
      <c r="J18" s="8">
        <f t="shared" si="0"/>
        <v>8.9442719099922148E-4</v>
      </c>
      <c r="K18" s="8">
        <f t="shared" si="1"/>
        <v>25.001600000000003</v>
      </c>
    </row>
    <row r="23" spans="2:15" ht="60.75" customHeight="1">
      <c r="B23" s="28" t="s">
        <v>19</v>
      </c>
      <c r="C23" s="28" t="s">
        <v>20</v>
      </c>
      <c r="D23" s="28" t="s">
        <v>21</v>
      </c>
      <c r="E23" s="28" t="s">
        <v>22</v>
      </c>
      <c r="F23" s="32" t="s">
        <v>23</v>
      </c>
      <c r="G23" s="28" t="s">
        <v>24</v>
      </c>
      <c r="J23" s="28" t="s">
        <v>19</v>
      </c>
      <c r="K23" s="28" t="s">
        <v>20</v>
      </c>
      <c r="L23" s="28" t="s">
        <v>21</v>
      </c>
      <c r="M23" s="28" t="s">
        <v>22</v>
      </c>
      <c r="N23" s="32" t="s">
        <v>23</v>
      </c>
      <c r="O23" s="28" t="s">
        <v>24</v>
      </c>
    </row>
    <row r="24" spans="2:15">
      <c r="B24" s="28"/>
      <c r="C24" s="28"/>
      <c r="D24" s="28"/>
      <c r="E24" s="28"/>
      <c r="F24" s="33"/>
      <c r="G24" s="28"/>
      <c r="J24" s="28"/>
      <c r="K24" s="28"/>
      <c r="L24" s="28"/>
      <c r="M24" s="28"/>
      <c r="N24" s="33"/>
      <c r="O24" s="28"/>
    </row>
    <row r="25" spans="2:15">
      <c r="B25" s="23">
        <v>1</v>
      </c>
      <c r="C25" s="13">
        <v>2</v>
      </c>
      <c r="D25" s="13">
        <v>3</v>
      </c>
      <c r="E25" s="13">
        <v>4</v>
      </c>
      <c r="F25" s="13">
        <v>5</v>
      </c>
      <c r="G25" s="13">
        <v>6</v>
      </c>
      <c r="J25" s="23">
        <v>1</v>
      </c>
      <c r="K25" s="13">
        <v>2</v>
      </c>
      <c r="L25" s="13">
        <v>3</v>
      </c>
      <c r="M25" s="13">
        <v>4</v>
      </c>
      <c r="N25" s="13">
        <v>5</v>
      </c>
      <c r="O25" s="13">
        <v>6</v>
      </c>
    </row>
    <row r="26" spans="2:15" ht="18">
      <c r="B26" s="23" t="s">
        <v>25</v>
      </c>
      <c r="C26" s="14" t="s">
        <v>26</v>
      </c>
      <c r="D26" s="15" t="s">
        <v>27</v>
      </c>
      <c r="E26" s="14"/>
      <c r="F26" s="14" t="s">
        <v>28</v>
      </c>
      <c r="G26" s="16" t="s">
        <v>29</v>
      </c>
      <c r="J26" s="23" t="s">
        <v>25</v>
      </c>
      <c r="K26" s="14" t="s">
        <v>26</v>
      </c>
      <c r="L26" s="15" t="s">
        <v>27</v>
      </c>
      <c r="M26" s="14"/>
      <c r="N26" s="14" t="s">
        <v>28</v>
      </c>
      <c r="O26" s="16" t="s">
        <v>29</v>
      </c>
    </row>
    <row r="27" spans="2:15">
      <c r="B27" s="23" t="s">
        <v>30</v>
      </c>
      <c r="C27" s="17">
        <f>K17</f>
        <v>21.5016</v>
      </c>
      <c r="D27" s="18">
        <f>$M$12/($M$14*($M$15-1))</f>
        <v>3.7746008064421416E-4</v>
      </c>
      <c r="E27" s="19">
        <v>2</v>
      </c>
      <c r="F27" s="17">
        <v>1</v>
      </c>
      <c r="G27" s="18">
        <f>D27*F27</f>
        <v>3.7746008064421416E-4</v>
      </c>
      <c r="J27" s="23" t="s">
        <v>30</v>
      </c>
      <c r="K27" s="17">
        <f>K18</f>
        <v>25.001600000000003</v>
      </c>
      <c r="L27" s="18">
        <f>$M$12/($M$14*($M$15-1))</f>
        <v>3.7746008064421416E-4</v>
      </c>
      <c r="M27" s="19">
        <v>2</v>
      </c>
      <c r="N27" s="17">
        <v>1</v>
      </c>
      <c r="O27" s="18">
        <f>L27*N27</f>
        <v>3.7746008064421416E-4</v>
      </c>
    </row>
    <row r="28" spans="2:15">
      <c r="B28" s="23" t="s">
        <v>31</v>
      </c>
      <c r="C28" s="17">
        <f>B17</f>
        <v>21.5</v>
      </c>
      <c r="D28" s="18">
        <f>N13/(SQRT(3))</f>
        <v>3.4641016151377546E-4</v>
      </c>
      <c r="E28" s="19" t="s">
        <v>32</v>
      </c>
      <c r="F28" s="17">
        <v>-1</v>
      </c>
      <c r="G28" s="18">
        <f t="shared" ref="G28:G31" si="2">D28*F28</f>
        <v>-3.4641016151377546E-4</v>
      </c>
      <c r="J28" s="23" t="s">
        <v>31</v>
      </c>
      <c r="K28" s="17">
        <f>B18</f>
        <v>25</v>
      </c>
      <c r="L28" s="18">
        <f>N13/(SQRT(3))</f>
        <v>3.4641016151377546E-4</v>
      </c>
      <c r="M28" s="19" t="s">
        <v>32</v>
      </c>
      <c r="N28" s="17">
        <v>-1</v>
      </c>
      <c r="O28" s="18">
        <f>L28*N28</f>
        <v>-3.4641016151377546E-4</v>
      </c>
    </row>
    <row r="29" spans="2:15">
      <c r="B29" s="23" t="s">
        <v>33</v>
      </c>
      <c r="C29" s="20">
        <v>1.15E-5</v>
      </c>
      <c r="D29" s="18">
        <f>O13/E29</f>
        <v>8.1649658092772609E-7</v>
      </c>
      <c r="E29" s="19">
        <f>SQRT(6)</f>
        <v>2.4494897427831779</v>
      </c>
      <c r="F29" s="17">
        <v>0</v>
      </c>
      <c r="G29" s="18">
        <f t="shared" si="2"/>
        <v>0</v>
      </c>
      <c r="J29" s="23" t="s">
        <v>33</v>
      </c>
      <c r="K29" s="20">
        <v>1.15E-5</v>
      </c>
      <c r="L29" s="18">
        <f>O13/M29</f>
        <v>8.1649658092772609E-7</v>
      </c>
      <c r="M29" s="19">
        <f>SQRT(6)</f>
        <v>2.4494897427831779</v>
      </c>
      <c r="N29" s="17">
        <v>0</v>
      </c>
      <c r="O29" s="18">
        <f t="shared" ref="O29:O31" si="3">L29*N29</f>
        <v>0</v>
      </c>
    </row>
    <row r="30" spans="2:15">
      <c r="B30" s="23" t="s">
        <v>34</v>
      </c>
      <c r="C30" s="17">
        <v>0</v>
      </c>
      <c r="D30" s="18">
        <f>P13/E30</f>
        <v>1.1547005383792517</v>
      </c>
      <c r="E30" s="19">
        <f>SQRT(3)</f>
        <v>1.7320508075688772</v>
      </c>
      <c r="F30" s="18">
        <v>2.4699999999999999E-4</v>
      </c>
      <c r="G30" s="18">
        <f t="shared" si="2"/>
        <v>2.8521103297967515E-4</v>
      </c>
      <c r="J30" s="23" t="s">
        <v>34</v>
      </c>
      <c r="K30" s="17">
        <v>0</v>
      </c>
      <c r="L30" s="18">
        <f>P13/M30</f>
        <v>1.1547005383792517</v>
      </c>
      <c r="M30" s="19">
        <f>SQRT(3)</f>
        <v>1.7320508075688772</v>
      </c>
      <c r="N30" s="18">
        <v>2.4699999999999999E-4</v>
      </c>
      <c r="O30" s="18">
        <f t="shared" si="3"/>
        <v>2.8521103297967515E-4</v>
      </c>
    </row>
    <row r="31" spans="2:15">
      <c r="B31" s="23" t="s">
        <v>35</v>
      </c>
      <c r="C31" s="17">
        <v>0</v>
      </c>
      <c r="D31" s="18">
        <f>Q13/(2*E31)</f>
        <v>2.886751345948129E-4</v>
      </c>
      <c r="E31" s="19">
        <f>SQRT(3)</f>
        <v>1.7320508075688772</v>
      </c>
      <c r="F31" s="17">
        <v>1</v>
      </c>
      <c r="G31" s="18">
        <f t="shared" si="2"/>
        <v>2.886751345948129E-4</v>
      </c>
      <c r="J31" s="23" t="s">
        <v>35</v>
      </c>
      <c r="K31" s="17">
        <v>0</v>
      </c>
      <c r="L31" s="18">
        <f>Q13/(2*M31)</f>
        <v>2.886751345948129E-4</v>
      </c>
      <c r="M31" s="19">
        <f>SQRT(3)</f>
        <v>1.7320508075688772</v>
      </c>
      <c r="N31" s="17">
        <v>1</v>
      </c>
      <c r="O31" s="18">
        <f t="shared" si="3"/>
        <v>2.886751345948129E-4</v>
      </c>
    </row>
    <row r="32" spans="2:15" ht="18.600000000000001">
      <c r="B32" s="24" t="s">
        <v>36</v>
      </c>
      <c r="C32" s="20">
        <f>C27-C28+(C28*C29*C30)+C31</f>
        <v>1.5999999999998238E-3</v>
      </c>
      <c r="D32" s="21"/>
      <c r="E32" s="26"/>
      <c r="F32" s="25" t="s">
        <v>37</v>
      </c>
      <c r="G32" s="22">
        <f>SQRT(SUMSQ(G27:G31))</f>
        <v>6.5357079122816027E-4</v>
      </c>
      <c r="J32" s="24" t="s">
        <v>36</v>
      </c>
      <c r="K32" s="20">
        <f>K27-K28+(K28*K29*K30)+K31</f>
        <v>1.6000000000033765E-3</v>
      </c>
      <c r="L32" s="21"/>
      <c r="M32" s="21"/>
      <c r="N32" s="25" t="s">
        <v>37</v>
      </c>
      <c r="O32" s="22">
        <f>SQRT(SUMSQ(O27:O31))</f>
        <v>6.5357079122816027E-4</v>
      </c>
    </row>
    <row r="33" spans="7:15">
      <c r="G33" s="27">
        <f>2*G32</f>
        <v>1.3071415824563205E-3</v>
      </c>
      <c r="O33" s="27">
        <f>2*O32</f>
        <v>1.3071415824563205E-3</v>
      </c>
    </row>
  </sheetData>
  <mergeCells count="37">
    <mergeCell ref="P10:P11"/>
    <mergeCell ref="Q10:Q11"/>
    <mergeCell ref="L12:L13"/>
    <mergeCell ref="M12:M13"/>
    <mergeCell ref="O23:O24"/>
    <mergeCell ref="J10:J11"/>
    <mergeCell ref="K10:K11"/>
    <mergeCell ref="L10:L11"/>
    <mergeCell ref="M10:M11"/>
    <mergeCell ref="N10:N11"/>
    <mergeCell ref="N23:N24"/>
    <mergeCell ref="J23:J24"/>
    <mergeCell ref="K23:K24"/>
    <mergeCell ref="L23:L24"/>
    <mergeCell ref="M23:M24"/>
    <mergeCell ref="O10:O11"/>
    <mergeCell ref="H17:I17"/>
    <mergeCell ref="H18:I18"/>
    <mergeCell ref="B23:B24"/>
    <mergeCell ref="C23:C24"/>
    <mergeCell ref="D23:D24"/>
    <mergeCell ref="E23:E24"/>
    <mergeCell ref="G23:G24"/>
    <mergeCell ref="F23:F24"/>
    <mergeCell ref="B6:D6"/>
    <mergeCell ref="H12:I12"/>
    <mergeCell ref="H13:I13"/>
    <mergeCell ref="H14:I14"/>
    <mergeCell ref="H15:I15"/>
    <mergeCell ref="H16:I16"/>
    <mergeCell ref="B10:B11"/>
    <mergeCell ref="C10:D11"/>
    <mergeCell ref="E10:E11"/>
    <mergeCell ref="F10:F11"/>
    <mergeCell ref="G10:G11"/>
    <mergeCell ref="H10:I10"/>
    <mergeCell ref="H11:I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31D9FD45D33A4187A75374B2E07D70" ma:contentTypeVersion="11" ma:contentTypeDescription="Utwórz nowy dokument." ma:contentTypeScope="" ma:versionID="e2dd7c3049f589c526f3cd53ec90e479">
  <xsd:schema xmlns:xsd="http://www.w3.org/2001/XMLSchema" xmlns:xs="http://www.w3.org/2001/XMLSchema" xmlns:p="http://schemas.microsoft.com/office/2006/metadata/properties" xmlns:ns2="80821202-0399-4cf0-9e3f-24157e412172" xmlns:ns3="7a607236-205b-4a5e-840a-022c7fa7f401" targetNamespace="http://schemas.microsoft.com/office/2006/metadata/properties" ma:root="true" ma:fieldsID="548a9fac0287aa2963f50afa18d85aef" ns2:_="" ns3:_="">
    <xsd:import namespace="80821202-0399-4cf0-9e3f-24157e412172"/>
    <xsd:import namespace="7a607236-205b-4a5e-840a-022c7fa7f4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1202-0399-4cf0-9e3f-24157e41217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7236-205b-4a5e-840a-022c7fa7f4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1fb8d-a18d-45d6-9d87-6d8ceeaf046b}" ma:internalName="TaxCatchAll" ma:showField="CatchAllData" ma:web="7a607236-205b-4a5e-840a-022c7fa7f4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7236-205b-4a5e-840a-022c7fa7f401" xsi:nil="true"/>
    <ReferenceId xmlns="80821202-0399-4cf0-9e3f-24157e412172" xsi:nil="true"/>
    <lcf76f155ced4ddcb4097134ff3c332f xmlns="80821202-0399-4cf0-9e3f-24157e4121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09A70A-1D5A-4800-8EB7-589028F5EB6E}"/>
</file>

<file path=customXml/itemProps2.xml><?xml version="1.0" encoding="utf-8"?>
<ds:datastoreItem xmlns:ds="http://schemas.openxmlformats.org/officeDocument/2006/customXml" ds:itemID="{5C7882E9-BBA8-42D4-9C9F-5D1EEEAE4A35}"/>
</file>

<file path=customXml/itemProps3.xml><?xml version="1.0" encoding="utf-8"?>
<ds:datastoreItem xmlns:ds="http://schemas.openxmlformats.org/officeDocument/2006/customXml" ds:itemID="{B368A266-E7D5-4EA2-A921-FF8844196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Zelkowski Szymon (STUD)</dc:creator>
  <cp:keywords/>
  <dc:description/>
  <cp:lastModifiedBy>Ostaszewska-Liżewska Anna</cp:lastModifiedBy>
  <cp:revision/>
  <dcterms:created xsi:type="dcterms:W3CDTF">2025-08-25T21:36:12Z</dcterms:created>
  <dcterms:modified xsi:type="dcterms:W3CDTF">2025-09-11T16:51:31Z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0x010100A031D9FD45D33A4187A75374B2E07D70</vt:lpwstr>
  </property>
  <property fmtid="{D5CDD505-2E9C-101B-9397-08002B2CF9AE}" pid="3" name="MediaServiceImageTags">
    <vt:lpwstr/>
  </property>
</Properties>
</file>